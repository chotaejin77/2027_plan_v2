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2302001P01\Desktop\업무용 폴더\업무\2027년\001. 사업계획\03. 작업\"/>
    </mc:Choice>
  </mc:AlternateContent>
  <xr:revisionPtr revIDLastSave="0" documentId="13_ncr:1_{A977DC82-3C5D-479C-BDEF-E5878C6FAE8D}" xr6:coauthVersionLast="36" xr6:coauthVersionMax="36" xr10:uidLastSave="{00000000-0000-0000-0000-000000000000}"/>
  <bookViews>
    <workbookView xWindow="0" yWindow="0" windowWidth="24720" windowHeight="11400" xr2:uid="{00000000-000D-0000-FFFF-FFFF00000000}"/>
  </bookViews>
  <sheets>
    <sheet name="가정" sheetId="1" r:id="rId1"/>
    <sheet name="S1_현재기준" sheetId="2" r:id="rId2"/>
    <sheet name="S2_익일" sheetId="3" r:id="rId3"/>
    <sheet name="S3_익일무배" sheetId="4" r:id="rId4"/>
    <sheet name="S4_익일무배회원" sheetId="5" r:id="rId5"/>
    <sheet name="요약" sheetId="6" r:id="rId6"/>
    <sheet name="브리지" sheetId="7" r:id="rId7"/>
  </sheets>
  <calcPr calcId="191029"/>
</workbook>
</file>

<file path=xl/calcChain.xml><?xml version="1.0" encoding="utf-8"?>
<calcChain xmlns="http://schemas.openxmlformats.org/spreadsheetml/2006/main">
  <c r="T63" i="5" l="1"/>
  <c r="F74" i="6" s="1"/>
  <c r="Q63" i="5"/>
  <c r="G63" i="5"/>
  <c r="F63" i="5"/>
  <c r="E63" i="5"/>
  <c r="D63" i="5"/>
  <c r="T62" i="5"/>
  <c r="G62" i="5"/>
  <c r="F62" i="5"/>
  <c r="Q62" i="5" s="1"/>
  <c r="E62" i="5"/>
  <c r="D62" i="5"/>
  <c r="Q61" i="5"/>
  <c r="R61" i="5" s="1"/>
  <c r="P61" i="5"/>
  <c r="G61" i="5"/>
  <c r="F61" i="5"/>
  <c r="T61" i="5" s="1"/>
  <c r="E61" i="5"/>
  <c r="L61" i="5" s="1"/>
  <c r="M61" i="5" s="1"/>
  <c r="D61" i="5"/>
  <c r="H61" i="5" s="1"/>
  <c r="G60" i="5"/>
  <c r="F60" i="5"/>
  <c r="T60" i="5" s="1"/>
  <c r="E60" i="5"/>
  <c r="D60" i="5"/>
  <c r="H59" i="5"/>
  <c r="G59" i="5"/>
  <c r="F59" i="5"/>
  <c r="T59" i="5" s="1"/>
  <c r="E59" i="5"/>
  <c r="D59" i="5"/>
  <c r="P58" i="5"/>
  <c r="G58" i="5"/>
  <c r="F58" i="5"/>
  <c r="E58" i="5"/>
  <c r="D58" i="5"/>
  <c r="P57" i="5"/>
  <c r="G57" i="5"/>
  <c r="F57" i="5"/>
  <c r="E57" i="5"/>
  <c r="L57" i="5" s="1"/>
  <c r="M57" i="5" s="1"/>
  <c r="D57" i="5"/>
  <c r="G56" i="5"/>
  <c r="F56" i="5"/>
  <c r="Q56" i="5" s="1"/>
  <c r="E56" i="5"/>
  <c r="H56" i="5" s="1"/>
  <c r="D56" i="5"/>
  <c r="P56" i="5" s="1"/>
  <c r="G55" i="5"/>
  <c r="F55" i="5"/>
  <c r="E55" i="5"/>
  <c r="D55" i="5"/>
  <c r="M54" i="5"/>
  <c r="L54" i="5"/>
  <c r="G54" i="5"/>
  <c r="F54" i="5"/>
  <c r="E54" i="5"/>
  <c r="D54" i="5"/>
  <c r="H54" i="5" s="1"/>
  <c r="G53" i="5"/>
  <c r="F53" i="5"/>
  <c r="T53" i="5" s="1"/>
  <c r="E53" i="5"/>
  <c r="D53" i="5"/>
  <c r="G52" i="5"/>
  <c r="F52" i="5"/>
  <c r="T52" i="5" s="1"/>
  <c r="E52" i="5"/>
  <c r="H52" i="5" s="1"/>
  <c r="D52" i="5"/>
  <c r="P52" i="5" s="1"/>
  <c r="P51" i="5"/>
  <c r="L51" i="5"/>
  <c r="H51" i="5"/>
  <c r="G51" i="5"/>
  <c r="F51" i="5"/>
  <c r="E51" i="5"/>
  <c r="D51" i="5"/>
  <c r="H50" i="5"/>
  <c r="G50" i="5"/>
  <c r="F50" i="5"/>
  <c r="E50" i="5"/>
  <c r="D50" i="5"/>
  <c r="P50" i="5" s="1"/>
  <c r="G49" i="5"/>
  <c r="F49" i="5"/>
  <c r="E49" i="5"/>
  <c r="D49" i="5"/>
  <c r="G48" i="5"/>
  <c r="F48" i="5"/>
  <c r="E48" i="5"/>
  <c r="D48" i="5"/>
  <c r="G47" i="5"/>
  <c r="F47" i="5"/>
  <c r="T47" i="5" s="1"/>
  <c r="E47" i="5"/>
  <c r="D47" i="5"/>
  <c r="T46" i="5"/>
  <c r="G46" i="5"/>
  <c r="F46" i="5"/>
  <c r="Q46" i="5" s="1"/>
  <c r="E46" i="5"/>
  <c r="D46" i="5"/>
  <c r="P45" i="5"/>
  <c r="G45" i="5"/>
  <c r="F45" i="5"/>
  <c r="E45" i="5"/>
  <c r="L45" i="5" s="1"/>
  <c r="M45" i="5" s="1"/>
  <c r="D45" i="5"/>
  <c r="G44" i="5"/>
  <c r="F44" i="5"/>
  <c r="T44" i="5" s="1"/>
  <c r="E44" i="5"/>
  <c r="D44" i="5"/>
  <c r="G43" i="5"/>
  <c r="F43" i="5"/>
  <c r="T43" i="5" s="1"/>
  <c r="E43" i="5"/>
  <c r="D43" i="5"/>
  <c r="P42" i="5"/>
  <c r="G42" i="5"/>
  <c r="F42" i="5"/>
  <c r="E42" i="5"/>
  <c r="D42" i="5"/>
  <c r="P41" i="5"/>
  <c r="L41" i="5"/>
  <c r="M41" i="5" s="1"/>
  <c r="H41" i="5"/>
  <c r="G41" i="5"/>
  <c r="F41" i="5"/>
  <c r="E41" i="5"/>
  <c r="D41" i="5"/>
  <c r="G40" i="5"/>
  <c r="F40" i="5"/>
  <c r="Q40" i="5" s="1"/>
  <c r="E40" i="5"/>
  <c r="D40" i="5"/>
  <c r="G39" i="5"/>
  <c r="F39" i="5"/>
  <c r="E39" i="5"/>
  <c r="D39" i="5"/>
  <c r="G38" i="5"/>
  <c r="F38" i="5"/>
  <c r="E38" i="5"/>
  <c r="L38" i="5" s="1"/>
  <c r="M38" i="5" s="1"/>
  <c r="D38" i="5"/>
  <c r="H38" i="5" s="1"/>
  <c r="G37" i="5"/>
  <c r="F37" i="5"/>
  <c r="T37" i="5" s="1"/>
  <c r="E37" i="5"/>
  <c r="H37" i="5" s="1"/>
  <c r="D37" i="5"/>
  <c r="T36" i="5"/>
  <c r="Q36" i="5"/>
  <c r="G36" i="5"/>
  <c r="F36" i="5"/>
  <c r="E36" i="5"/>
  <c r="D36" i="5"/>
  <c r="P35" i="5"/>
  <c r="L35" i="5"/>
  <c r="M35" i="5" s="1"/>
  <c r="H35" i="5"/>
  <c r="G35" i="5"/>
  <c r="F35" i="5"/>
  <c r="E35" i="5"/>
  <c r="D35" i="5"/>
  <c r="P34" i="5"/>
  <c r="H34" i="5"/>
  <c r="G34" i="5"/>
  <c r="F34" i="5"/>
  <c r="E34" i="5"/>
  <c r="D34" i="5"/>
  <c r="P33" i="5"/>
  <c r="G33" i="5"/>
  <c r="F33" i="5"/>
  <c r="E33" i="5"/>
  <c r="D33" i="5"/>
  <c r="P32" i="5"/>
  <c r="G32" i="5"/>
  <c r="F32" i="5"/>
  <c r="E32" i="5"/>
  <c r="D32" i="5"/>
  <c r="T31" i="5"/>
  <c r="L31" i="5"/>
  <c r="M31" i="5" s="1"/>
  <c r="G31" i="5"/>
  <c r="F31" i="5"/>
  <c r="Q31" i="5" s="1"/>
  <c r="E31" i="5"/>
  <c r="D31" i="5"/>
  <c r="G30" i="5"/>
  <c r="F30" i="5"/>
  <c r="E30" i="5"/>
  <c r="L30" i="5" s="1"/>
  <c r="M30" i="5" s="1"/>
  <c r="D30" i="5"/>
  <c r="P29" i="5"/>
  <c r="L29" i="5"/>
  <c r="M29" i="5" s="1"/>
  <c r="G29" i="5"/>
  <c r="F29" i="5"/>
  <c r="T29" i="5" s="1"/>
  <c r="E29" i="5"/>
  <c r="D29" i="5"/>
  <c r="T28" i="5"/>
  <c r="R28" i="5"/>
  <c r="Q28" i="5"/>
  <c r="P28" i="5"/>
  <c r="L28" i="5"/>
  <c r="M28" i="5" s="1"/>
  <c r="H28" i="5"/>
  <c r="G28" i="5"/>
  <c r="F28" i="5"/>
  <c r="E28" i="5"/>
  <c r="D28" i="5"/>
  <c r="T27" i="5"/>
  <c r="C74" i="6" s="1"/>
  <c r="Q27" i="5"/>
  <c r="G27" i="5"/>
  <c r="F27" i="5"/>
  <c r="E27" i="5"/>
  <c r="D27" i="5"/>
  <c r="G26" i="5"/>
  <c r="F26" i="5"/>
  <c r="T26" i="5" s="1"/>
  <c r="E26" i="5"/>
  <c r="H26" i="5" s="1"/>
  <c r="D26" i="5"/>
  <c r="P25" i="5"/>
  <c r="G25" i="5"/>
  <c r="F25" i="5"/>
  <c r="E25" i="5"/>
  <c r="L25" i="5" s="1"/>
  <c r="M25" i="5" s="1"/>
  <c r="D25" i="5"/>
  <c r="T24" i="5"/>
  <c r="P24" i="5"/>
  <c r="G24" i="5"/>
  <c r="F24" i="5"/>
  <c r="Q24" i="5" s="1"/>
  <c r="E24" i="5"/>
  <c r="L24" i="5" s="1"/>
  <c r="M24" i="5" s="1"/>
  <c r="D24" i="5"/>
  <c r="P23" i="5"/>
  <c r="G23" i="5"/>
  <c r="F23" i="5"/>
  <c r="Q23" i="5" s="1"/>
  <c r="E23" i="5"/>
  <c r="D23" i="5"/>
  <c r="H22" i="5"/>
  <c r="G22" i="5"/>
  <c r="F22" i="5"/>
  <c r="E22" i="5"/>
  <c r="D22" i="5"/>
  <c r="L21" i="5"/>
  <c r="M21" i="5" s="1"/>
  <c r="H21" i="5"/>
  <c r="G21" i="5"/>
  <c r="F21" i="5"/>
  <c r="T21" i="5" s="1"/>
  <c r="E21" i="5"/>
  <c r="D21" i="5"/>
  <c r="P21" i="5" s="1"/>
  <c r="G20" i="5"/>
  <c r="F20" i="5"/>
  <c r="E20" i="5"/>
  <c r="D20" i="5"/>
  <c r="H19" i="5"/>
  <c r="G19" i="5"/>
  <c r="F19" i="5"/>
  <c r="E19" i="5"/>
  <c r="D19" i="5"/>
  <c r="Q18" i="5"/>
  <c r="R18" i="5" s="1"/>
  <c r="P18" i="5"/>
  <c r="L18" i="5"/>
  <c r="M18" i="5" s="1"/>
  <c r="H18" i="5"/>
  <c r="G18" i="5"/>
  <c r="F18" i="5"/>
  <c r="T18" i="5" s="1"/>
  <c r="E18" i="5"/>
  <c r="D18" i="5"/>
  <c r="H17" i="5"/>
  <c r="G17" i="5"/>
  <c r="F17" i="5"/>
  <c r="E17" i="5"/>
  <c r="D17" i="5"/>
  <c r="T16" i="5"/>
  <c r="P16" i="5"/>
  <c r="H16" i="5"/>
  <c r="G16" i="5"/>
  <c r="F16" i="5"/>
  <c r="Q16" i="5" s="1"/>
  <c r="E16" i="5"/>
  <c r="L16" i="5" s="1"/>
  <c r="M16" i="5" s="1"/>
  <c r="D16" i="5"/>
  <c r="G15" i="5"/>
  <c r="F15" i="5"/>
  <c r="E15" i="5"/>
  <c r="D15" i="5"/>
  <c r="G14" i="5"/>
  <c r="F14" i="5"/>
  <c r="E14" i="5"/>
  <c r="D14" i="5"/>
  <c r="P14" i="5" s="1"/>
  <c r="G13" i="5"/>
  <c r="F13" i="5"/>
  <c r="T13" i="5" s="1"/>
  <c r="E13" i="5"/>
  <c r="D13" i="5"/>
  <c r="G12" i="5"/>
  <c r="F12" i="5"/>
  <c r="E12" i="5"/>
  <c r="D12" i="5"/>
  <c r="T11" i="5"/>
  <c r="Q11" i="5"/>
  <c r="R11" i="5" s="1"/>
  <c r="P11" i="5"/>
  <c r="L11" i="5"/>
  <c r="M11" i="5" s="1"/>
  <c r="H11" i="5"/>
  <c r="G11" i="5"/>
  <c r="F11" i="5"/>
  <c r="E11" i="5"/>
  <c r="D11" i="5"/>
  <c r="Q10" i="5"/>
  <c r="H10" i="5"/>
  <c r="G10" i="5"/>
  <c r="F10" i="5"/>
  <c r="T10" i="5" s="1"/>
  <c r="E10" i="5"/>
  <c r="D10" i="5"/>
  <c r="P9" i="5"/>
  <c r="L9" i="5"/>
  <c r="M9" i="5" s="1"/>
  <c r="H9" i="5"/>
  <c r="G9" i="5"/>
  <c r="F9" i="5"/>
  <c r="T9" i="5" s="1"/>
  <c r="E9" i="5"/>
  <c r="D9" i="5"/>
  <c r="P8" i="5"/>
  <c r="G8" i="5"/>
  <c r="F8" i="5"/>
  <c r="T8" i="5" s="1"/>
  <c r="E8" i="5"/>
  <c r="L8" i="5" s="1"/>
  <c r="M8" i="5" s="1"/>
  <c r="D8" i="5"/>
  <c r="H8" i="5" s="1"/>
  <c r="G7" i="5"/>
  <c r="F7" i="5"/>
  <c r="E7" i="5"/>
  <c r="L7" i="5" s="1"/>
  <c r="M7" i="5" s="1"/>
  <c r="D7" i="5"/>
  <c r="P7" i="5" s="1"/>
  <c r="T6" i="5"/>
  <c r="P6" i="5"/>
  <c r="G6" i="5"/>
  <c r="F6" i="5"/>
  <c r="Q6" i="5" s="1"/>
  <c r="R6" i="5" s="1"/>
  <c r="E6" i="5"/>
  <c r="D6" i="5"/>
  <c r="T5" i="5"/>
  <c r="Q5" i="5"/>
  <c r="G5" i="5"/>
  <c r="F5" i="5"/>
  <c r="E5" i="5"/>
  <c r="D5" i="5"/>
  <c r="T4" i="5"/>
  <c r="Q4" i="5"/>
  <c r="N4" i="5"/>
  <c r="I4" i="5"/>
  <c r="J4" i="5" s="1"/>
  <c r="G4" i="5"/>
  <c r="F4" i="5"/>
  <c r="E4" i="5"/>
  <c r="D4" i="5"/>
  <c r="T63" i="4"/>
  <c r="F73" i="6" s="1"/>
  <c r="H63" i="4"/>
  <c r="G63" i="4"/>
  <c r="F63" i="4"/>
  <c r="Q63" i="4" s="1"/>
  <c r="E63" i="4"/>
  <c r="D63" i="4"/>
  <c r="P62" i="4"/>
  <c r="L62" i="4"/>
  <c r="M62" i="4" s="1"/>
  <c r="H62" i="4"/>
  <c r="G62" i="4"/>
  <c r="F62" i="4"/>
  <c r="T62" i="4" s="1"/>
  <c r="E62" i="4"/>
  <c r="D62" i="4"/>
  <c r="P61" i="4"/>
  <c r="G61" i="4"/>
  <c r="F61" i="4"/>
  <c r="T61" i="4" s="1"/>
  <c r="E61" i="4"/>
  <c r="D61" i="4"/>
  <c r="L61" i="4" s="1"/>
  <c r="M61" i="4" s="1"/>
  <c r="P60" i="4"/>
  <c r="L60" i="4"/>
  <c r="M60" i="4" s="1"/>
  <c r="H60" i="4"/>
  <c r="G60" i="4"/>
  <c r="F60" i="4"/>
  <c r="Q60" i="4" s="1"/>
  <c r="E60" i="4"/>
  <c r="D60" i="4"/>
  <c r="T59" i="4"/>
  <c r="P59" i="4"/>
  <c r="L59" i="4"/>
  <c r="M59" i="4" s="1"/>
  <c r="G59" i="4"/>
  <c r="F59" i="4"/>
  <c r="Q59" i="4" s="1"/>
  <c r="R59" i="4" s="1"/>
  <c r="E59" i="4"/>
  <c r="D59" i="4"/>
  <c r="G58" i="4"/>
  <c r="F58" i="4"/>
  <c r="E58" i="4"/>
  <c r="H58" i="4" s="1"/>
  <c r="D58" i="4"/>
  <c r="P58" i="4" s="1"/>
  <c r="T57" i="4"/>
  <c r="Q57" i="4"/>
  <c r="G57" i="4"/>
  <c r="F57" i="4"/>
  <c r="E57" i="4"/>
  <c r="D57" i="4"/>
  <c r="T56" i="4"/>
  <c r="G56" i="4"/>
  <c r="F56" i="4"/>
  <c r="Q56" i="4" s="1"/>
  <c r="E56" i="4"/>
  <c r="D56" i="4"/>
  <c r="R55" i="4"/>
  <c r="Q55" i="4"/>
  <c r="P55" i="4"/>
  <c r="L55" i="4"/>
  <c r="M55" i="4" s="1"/>
  <c r="H55" i="4"/>
  <c r="G55" i="4"/>
  <c r="F55" i="4"/>
  <c r="T55" i="4" s="1"/>
  <c r="E55" i="4"/>
  <c r="D55" i="4"/>
  <c r="T54" i="4"/>
  <c r="Q54" i="4"/>
  <c r="R54" i="4" s="1"/>
  <c r="P54" i="4"/>
  <c r="G54" i="4"/>
  <c r="F54" i="4"/>
  <c r="E54" i="4"/>
  <c r="D54" i="4"/>
  <c r="L54" i="4" s="1"/>
  <c r="M54" i="4" s="1"/>
  <c r="P53" i="4"/>
  <c r="G53" i="4"/>
  <c r="F53" i="4"/>
  <c r="T53" i="4" s="1"/>
  <c r="E53" i="4"/>
  <c r="D53" i="4"/>
  <c r="G52" i="4"/>
  <c r="F52" i="4"/>
  <c r="E52" i="4"/>
  <c r="D52" i="4"/>
  <c r="G51" i="4"/>
  <c r="F51" i="4"/>
  <c r="E51" i="4"/>
  <c r="D51" i="4"/>
  <c r="P50" i="4"/>
  <c r="L50" i="4"/>
  <c r="M50" i="4" s="1"/>
  <c r="G50" i="4"/>
  <c r="F50" i="4"/>
  <c r="T50" i="4" s="1"/>
  <c r="E50" i="4"/>
  <c r="D50" i="4"/>
  <c r="H50" i="4" s="1"/>
  <c r="T49" i="4"/>
  <c r="Q49" i="4"/>
  <c r="G49" i="4"/>
  <c r="F49" i="4"/>
  <c r="E49" i="4"/>
  <c r="D49" i="4"/>
  <c r="T48" i="4"/>
  <c r="P48" i="4"/>
  <c r="R48" i="4" s="1"/>
  <c r="G48" i="4"/>
  <c r="F48" i="4"/>
  <c r="Q48" i="4" s="1"/>
  <c r="E48" i="4"/>
  <c r="D48" i="4"/>
  <c r="T47" i="4"/>
  <c r="Q47" i="4"/>
  <c r="H47" i="4"/>
  <c r="G47" i="4"/>
  <c r="F47" i="4"/>
  <c r="E47" i="4"/>
  <c r="D47" i="4"/>
  <c r="P46" i="4"/>
  <c r="H46" i="4"/>
  <c r="G46" i="4"/>
  <c r="F46" i="4"/>
  <c r="E46" i="4"/>
  <c r="D46" i="4"/>
  <c r="P45" i="4"/>
  <c r="H45" i="4"/>
  <c r="G45" i="4"/>
  <c r="F45" i="4"/>
  <c r="E45" i="4"/>
  <c r="L45" i="4" s="1"/>
  <c r="M45" i="4" s="1"/>
  <c r="D45" i="4"/>
  <c r="P44" i="4"/>
  <c r="G44" i="4"/>
  <c r="F44" i="4"/>
  <c r="T44" i="4" s="1"/>
  <c r="E44" i="4"/>
  <c r="L44" i="4" s="1"/>
  <c r="M44" i="4" s="1"/>
  <c r="D44" i="4"/>
  <c r="P43" i="4"/>
  <c r="G43" i="4"/>
  <c r="F43" i="4"/>
  <c r="Q43" i="4" s="1"/>
  <c r="E43" i="4"/>
  <c r="D43" i="4"/>
  <c r="T42" i="4"/>
  <c r="Q42" i="4"/>
  <c r="P42" i="4"/>
  <c r="G42" i="4"/>
  <c r="F42" i="4"/>
  <c r="E42" i="4"/>
  <c r="D42" i="4"/>
  <c r="T41" i="4"/>
  <c r="H41" i="4"/>
  <c r="G41" i="4"/>
  <c r="F41" i="4"/>
  <c r="Q41" i="4" s="1"/>
  <c r="E41" i="4"/>
  <c r="D41" i="4"/>
  <c r="P41" i="4" s="1"/>
  <c r="R41" i="4" s="1"/>
  <c r="T40" i="4"/>
  <c r="R40" i="4"/>
  <c r="Q40" i="4"/>
  <c r="P40" i="4"/>
  <c r="M40" i="4"/>
  <c r="L40" i="4"/>
  <c r="G40" i="4"/>
  <c r="F40" i="4"/>
  <c r="E40" i="4"/>
  <c r="H40" i="4" s="1"/>
  <c r="D40" i="4"/>
  <c r="P39" i="4"/>
  <c r="G39" i="4"/>
  <c r="F39" i="4"/>
  <c r="T39" i="4" s="1"/>
  <c r="D73" i="6" s="1"/>
  <c r="E39" i="4"/>
  <c r="L39" i="4" s="1"/>
  <c r="D39" i="4"/>
  <c r="Q38" i="4"/>
  <c r="P38" i="4"/>
  <c r="R38" i="4" s="1"/>
  <c r="G38" i="4"/>
  <c r="F38" i="4"/>
  <c r="T38" i="4" s="1"/>
  <c r="E38" i="4"/>
  <c r="L38" i="4" s="1"/>
  <c r="M38" i="4" s="1"/>
  <c r="D38" i="4"/>
  <c r="G37" i="4"/>
  <c r="F37" i="4"/>
  <c r="E37" i="4"/>
  <c r="D37" i="4"/>
  <c r="P36" i="4"/>
  <c r="L36" i="4"/>
  <c r="M36" i="4" s="1"/>
  <c r="G36" i="4"/>
  <c r="F36" i="4"/>
  <c r="E36" i="4"/>
  <c r="H36" i="4" s="1"/>
  <c r="D36" i="4"/>
  <c r="T35" i="4"/>
  <c r="Q35" i="4"/>
  <c r="G35" i="4"/>
  <c r="F35" i="4"/>
  <c r="E35" i="4"/>
  <c r="D35" i="4"/>
  <c r="G34" i="4"/>
  <c r="F34" i="4"/>
  <c r="E34" i="4"/>
  <c r="D34" i="4"/>
  <c r="G33" i="4"/>
  <c r="F33" i="4"/>
  <c r="E33" i="4"/>
  <c r="L33" i="4" s="1"/>
  <c r="M33" i="4" s="1"/>
  <c r="D33" i="4"/>
  <c r="P33" i="4" s="1"/>
  <c r="P32" i="4"/>
  <c r="G32" i="4"/>
  <c r="F32" i="4"/>
  <c r="T32" i="4" s="1"/>
  <c r="E32" i="4"/>
  <c r="L32" i="4" s="1"/>
  <c r="M32" i="4" s="1"/>
  <c r="D32" i="4"/>
  <c r="H31" i="4"/>
  <c r="G31" i="4"/>
  <c r="F31" i="4"/>
  <c r="T31" i="4" s="1"/>
  <c r="E31" i="4"/>
  <c r="L31" i="4" s="1"/>
  <c r="M31" i="4" s="1"/>
  <c r="D31" i="4"/>
  <c r="P31" i="4" s="1"/>
  <c r="H30" i="4"/>
  <c r="G30" i="4"/>
  <c r="F30" i="4"/>
  <c r="E30" i="4"/>
  <c r="D30" i="4"/>
  <c r="P29" i="4"/>
  <c r="L29" i="4"/>
  <c r="M29" i="4" s="1"/>
  <c r="G29" i="4"/>
  <c r="F29" i="4"/>
  <c r="E29" i="4"/>
  <c r="H29" i="4" s="1"/>
  <c r="D29" i="4"/>
  <c r="T28" i="4"/>
  <c r="G28" i="4"/>
  <c r="F28" i="4"/>
  <c r="Q28" i="4" s="1"/>
  <c r="E28" i="4"/>
  <c r="D28" i="4"/>
  <c r="G27" i="4"/>
  <c r="F27" i="4"/>
  <c r="E27" i="4"/>
  <c r="D27" i="4"/>
  <c r="T26" i="4"/>
  <c r="P26" i="4"/>
  <c r="R26" i="4" s="1"/>
  <c r="G26" i="4"/>
  <c r="F26" i="4"/>
  <c r="Q26" i="4" s="1"/>
  <c r="E26" i="4"/>
  <c r="L26" i="4" s="1"/>
  <c r="M26" i="4" s="1"/>
  <c r="D26" i="4"/>
  <c r="T25" i="4"/>
  <c r="R25" i="4"/>
  <c r="Q25" i="4"/>
  <c r="L25" i="4"/>
  <c r="M25" i="4" s="1"/>
  <c r="H25" i="4"/>
  <c r="G25" i="4"/>
  <c r="F25" i="4"/>
  <c r="E25" i="4"/>
  <c r="D25" i="4"/>
  <c r="P25" i="4" s="1"/>
  <c r="T24" i="4"/>
  <c r="Q24" i="4"/>
  <c r="G24" i="4"/>
  <c r="F24" i="4"/>
  <c r="E24" i="4"/>
  <c r="D24" i="4"/>
  <c r="L23" i="4"/>
  <c r="M23" i="4" s="1"/>
  <c r="G23" i="4"/>
  <c r="F23" i="4"/>
  <c r="E23" i="4"/>
  <c r="D23" i="4"/>
  <c r="P22" i="4"/>
  <c r="G22" i="4"/>
  <c r="F22" i="4"/>
  <c r="T22" i="4" s="1"/>
  <c r="E22" i="4"/>
  <c r="L22" i="4" s="1"/>
  <c r="M22" i="4" s="1"/>
  <c r="D22" i="4"/>
  <c r="G21" i="4"/>
  <c r="F21" i="4"/>
  <c r="Q21" i="4" s="1"/>
  <c r="E21" i="4"/>
  <c r="D21" i="4"/>
  <c r="G20" i="4"/>
  <c r="F20" i="4"/>
  <c r="Q20" i="4" s="1"/>
  <c r="E20" i="4"/>
  <c r="H20" i="4" s="1"/>
  <c r="D20" i="4"/>
  <c r="G19" i="4"/>
  <c r="F19" i="4"/>
  <c r="T19" i="4" s="1"/>
  <c r="E19" i="4"/>
  <c r="D19" i="4"/>
  <c r="T18" i="4"/>
  <c r="H18" i="4"/>
  <c r="G18" i="4"/>
  <c r="F18" i="4"/>
  <c r="Q18" i="4" s="1"/>
  <c r="E18" i="4"/>
  <c r="D18" i="4"/>
  <c r="L17" i="4"/>
  <c r="M17" i="4" s="1"/>
  <c r="G17" i="4"/>
  <c r="F17" i="4"/>
  <c r="E17" i="4"/>
  <c r="D17" i="4"/>
  <c r="L16" i="4"/>
  <c r="M16" i="4" s="1"/>
  <c r="H16" i="4"/>
  <c r="G16" i="4"/>
  <c r="F16" i="4"/>
  <c r="Q16" i="4" s="1"/>
  <c r="R16" i="4" s="1"/>
  <c r="E16" i="4"/>
  <c r="D16" i="4"/>
  <c r="P16" i="4" s="1"/>
  <c r="Q15" i="4"/>
  <c r="G15" i="4"/>
  <c r="F15" i="4"/>
  <c r="T15" i="4" s="1"/>
  <c r="B73" i="6" s="1"/>
  <c r="E15" i="4"/>
  <c r="D15" i="4"/>
  <c r="G14" i="4"/>
  <c r="F14" i="4"/>
  <c r="E14" i="4"/>
  <c r="D14" i="4"/>
  <c r="P13" i="4"/>
  <c r="G13" i="4"/>
  <c r="F13" i="4"/>
  <c r="T13" i="4" s="1"/>
  <c r="E13" i="4"/>
  <c r="L13" i="4" s="1"/>
  <c r="M13" i="4" s="1"/>
  <c r="D13" i="4"/>
  <c r="T12" i="4"/>
  <c r="Q12" i="4"/>
  <c r="G12" i="4"/>
  <c r="F12" i="4"/>
  <c r="E12" i="4"/>
  <c r="D12" i="4"/>
  <c r="P11" i="4"/>
  <c r="G11" i="4"/>
  <c r="F11" i="4"/>
  <c r="T11" i="4" s="1"/>
  <c r="E11" i="4"/>
  <c r="D11" i="4"/>
  <c r="G10" i="4"/>
  <c r="F10" i="4"/>
  <c r="E10" i="4"/>
  <c r="D10" i="4"/>
  <c r="T9" i="4"/>
  <c r="P9" i="4"/>
  <c r="R9" i="4" s="1"/>
  <c r="L9" i="4"/>
  <c r="M9" i="4" s="1"/>
  <c r="G9" i="4"/>
  <c r="F9" i="4"/>
  <c r="Q9" i="4" s="1"/>
  <c r="E9" i="4"/>
  <c r="D9" i="4"/>
  <c r="Q8" i="4"/>
  <c r="P8" i="4"/>
  <c r="G8" i="4"/>
  <c r="F8" i="4"/>
  <c r="T8" i="4" s="1"/>
  <c r="E8" i="4"/>
  <c r="D8" i="4"/>
  <c r="T7" i="4"/>
  <c r="G7" i="4"/>
  <c r="F7" i="4"/>
  <c r="Q7" i="4" s="1"/>
  <c r="E7" i="4"/>
  <c r="D7" i="4"/>
  <c r="P6" i="4"/>
  <c r="H6" i="4"/>
  <c r="G6" i="4"/>
  <c r="F6" i="4"/>
  <c r="T6" i="4" s="1"/>
  <c r="E6" i="4"/>
  <c r="L6" i="4" s="1"/>
  <c r="M6" i="4" s="1"/>
  <c r="D6" i="4"/>
  <c r="Q5" i="4"/>
  <c r="P5" i="4"/>
  <c r="L5" i="4"/>
  <c r="M5" i="4" s="1"/>
  <c r="G5" i="4"/>
  <c r="F5" i="4"/>
  <c r="T5" i="4" s="1"/>
  <c r="E5" i="4"/>
  <c r="D5" i="4"/>
  <c r="P4" i="4"/>
  <c r="N4" i="4"/>
  <c r="L4" i="4"/>
  <c r="M4" i="4" s="1"/>
  <c r="I4" i="4"/>
  <c r="H4" i="4"/>
  <c r="G4" i="4"/>
  <c r="F4" i="4"/>
  <c r="E4" i="4"/>
  <c r="D4" i="4"/>
  <c r="P63" i="3"/>
  <c r="H63" i="3"/>
  <c r="G63" i="3"/>
  <c r="F63" i="3"/>
  <c r="E63" i="3"/>
  <c r="D63" i="3"/>
  <c r="P62" i="3"/>
  <c r="G62" i="3"/>
  <c r="F62" i="3"/>
  <c r="T62" i="3" s="1"/>
  <c r="E62" i="3"/>
  <c r="L62" i="3" s="1"/>
  <c r="M62" i="3" s="1"/>
  <c r="D62" i="3"/>
  <c r="T61" i="3"/>
  <c r="G61" i="3"/>
  <c r="F61" i="3"/>
  <c r="Q61" i="3" s="1"/>
  <c r="E61" i="3"/>
  <c r="D61" i="3"/>
  <c r="T60" i="3"/>
  <c r="G60" i="3"/>
  <c r="F60" i="3"/>
  <c r="Q60" i="3" s="1"/>
  <c r="E60" i="3"/>
  <c r="D60" i="3"/>
  <c r="P59" i="3"/>
  <c r="L59" i="3"/>
  <c r="M59" i="3" s="1"/>
  <c r="G59" i="3"/>
  <c r="F59" i="3"/>
  <c r="E59" i="3"/>
  <c r="D59" i="3"/>
  <c r="T58" i="3"/>
  <c r="R58" i="3"/>
  <c r="Q58" i="3"/>
  <c r="P58" i="3"/>
  <c r="G58" i="3"/>
  <c r="F58" i="3"/>
  <c r="E58" i="3"/>
  <c r="L58" i="3" s="1"/>
  <c r="M58" i="3" s="1"/>
  <c r="D58" i="3"/>
  <c r="H58" i="3" s="1"/>
  <c r="P57" i="3"/>
  <c r="G57" i="3"/>
  <c r="F57" i="3"/>
  <c r="T57" i="3" s="1"/>
  <c r="E57" i="3"/>
  <c r="H57" i="3" s="1"/>
  <c r="D57" i="3"/>
  <c r="P56" i="3"/>
  <c r="H56" i="3"/>
  <c r="G56" i="3"/>
  <c r="F56" i="3"/>
  <c r="E56" i="3"/>
  <c r="D56" i="3"/>
  <c r="P55" i="3"/>
  <c r="L55" i="3"/>
  <c r="M55" i="3" s="1"/>
  <c r="G55" i="3"/>
  <c r="F55" i="3"/>
  <c r="T55" i="3" s="1"/>
  <c r="E55" i="3"/>
  <c r="H55" i="3" s="1"/>
  <c r="D55" i="3"/>
  <c r="Q54" i="3"/>
  <c r="G54" i="3"/>
  <c r="F54" i="3"/>
  <c r="T54" i="3" s="1"/>
  <c r="E54" i="3"/>
  <c r="D54" i="3"/>
  <c r="G53" i="3"/>
  <c r="F53" i="3"/>
  <c r="E53" i="3"/>
  <c r="L53" i="3" s="1"/>
  <c r="M53" i="3" s="1"/>
  <c r="D53" i="3"/>
  <c r="P53" i="3" s="1"/>
  <c r="P52" i="3"/>
  <c r="G52" i="3"/>
  <c r="F52" i="3"/>
  <c r="T52" i="3" s="1"/>
  <c r="E52" i="3"/>
  <c r="L52" i="3" s="1"/>
  <c r="M52" i="3" s="1"/>
  <c r="D52" i="3"/>
  <c r="T51" i="3"/>
  <c r="E72" i="6" s="1"/>
  <c r="P51" i="3"/>
  <c r="G51" i="3"/>
  <c r="F51" i="3"/>
  <c r="Q51" i="3" s="1"/>
  <c r="R51" i="3" s="1"/>
  <c r="E66" i="6" s="1"/>
  <c r="E51" i="3"/>
  <c r="D51" i="3"/>
  <c r="P50" i="3"/>
  <c r="L50" i="3"/>
  <c r="M50" i="3" s="1"/>
  <c r="G50" i="3"/>
  <c r="F50" i="3"/>
  <c r="E50" i="3"/>
  <c r="H50" i="3" s="1"/>
  <c r="D50" i="3"/>
  <c r="P49" i="3"/>
  <c r="L49" i="3"/>
  <c r="M49" i="3" s="1"/>
  <c r="G49" i="3"/>
  <c r="F49" i="3"/>
  <c r="T49" i="3" s="1"/>
  <c r="E49" i="3"/>
  <c r="D49" i="3"/>
  <c r="G48" i="3"/>
  <c r="F48" i="3"/>
  <c r="Q48" i="3" s="1"/>
  <c r="E48" i="3"/>
  <c r="L48" i="3" s="1"/>
  <c r="M48" i="3" s="1"/>
  <c r="D48" i="3"/>
  <c r="Q47" i="3"/>
  <c r="R47" i="3" s="1"/>
  <c r="P47" i="3"/>
  <c r="G47" i="3"/>
  <c r="F47" i="3"/>
  <c r="T47" i="3" s="1"/>
  <c r="E47" i="3"/>
  <c r="L47" i="3" s="1"/>
  <c r="M47" i="3" s="1"/>
  <c r="D47" i="3"/>
  <c r="H47" i="3" s="1"/>
  <c r="G46" i="3"/>
  <c r="F46" i="3"/>
  <c r="Q46" i="3" s="1"/>
  <c r="E46" i="3"/>
  <c r="D46" i="3"/>
  <c r="T45" i="3"/>
  <c r="Q45" i="3"/>
  <c r="P45" i="3"/>
  <c r="H45" i="3"/>
  <c r="G45" i="3"/>
  <c r="F45" i="3"/>
  <c r="E45" i="3"/>
  <c r="L45" i="3" s="1"/>
  <c r="M45" i="3" s="1"/>
  <c r="D45" i="3"/>
  <c r="G44" i="3"/>
  <c r="F44" i="3"/>
  <c r="Q44" i="3" s="1"/>
  <c r="E44" i="3"/>
  <c r="L44" i="3" s="1"/>
  <c r="M44" i="3" s="1"/>
  <c r="D44" i="3"/>
  <c r="P43" i="3"/>
  <c r="H43" i="3"/>
  <c r="G43" i="3"/>
  <c r="F43" i="3"/>
  <c r="E43" i="3"/>
  <c r="L43" i="3" s="1"/>
  <c r="M43" i="3" s="1"/>
  <c r="D43" i="3"/>
  <c r="G42" i="3"/>
  <c r="F42" i="3"/>
  <c r="T42" i="3" s="1"/>
  <c r="E42" i="3"/>
  <c r="D42" i="3"/>
  <c r="G41" i="3"/>
  <c r="F41" i="3"/>
  <c r="T41" i="3" s="1"/>
  <c r="E41" i="3"/>
  <c r="L41" i="3" s="1"/>
  <c r="M41" i="3" s="1"/>
  <c r="D41" i="3"/>
  <c r="T40" i="3"/>
  <c r="Q40" i="3"/>
  <c r="P40" i="3"/>
  <c r="L40" i="3"/>
  <c r="M40" i="3" s="1"/>
  <c r="G40" i="3"/>
  <c r="F40" i="3"/>
  <c r="E40" i="3"/>
  <c r="D40" i="3"/>
  <c r="H40" i="3" s="1"/>
  <c r="H39" i="3"/>
  <c r="G39" i="3"/>
  <c r="F39" i="3"/>
  <c r="E39" i="3"/>
  <c r="D39" i="3"/>
  <c r="Q38" i="3"/>
  <c r="P38" i="3"/>
  <c r="G38" i="3"/>
  <c r="F38" i="3"/>
  <c r="T38" i="3" s="1"/>
  <c r="E38" i="3"/>
  <c r="L38" i="3" s="1"/>
  <c r="M38" i="3" s="1"/>
  <c r="D38" i="3"/>
  <c r="P37" i="3"/>
  <c r="G37" i="3"/>
  <c r="F37" i="3"/>
  <c r="T37" i="3" s="1"/>
  <c r="E37" i="3"/>
  <c r="H37" i="3" s="1"/>
  <c r="D37" i="3"/>
  <c r="G36" i="3"/>
  <c r="F36" i="3"/>
  <c r="T36" i="3" s="1"/>
  <c r="E36" i="3"/>
  <c r="D36" i="3"/>
  <c r="P36" i="3" s="1"/>
  <c r="T35" i="3"/>
  <c r="P35" i="3"/>
  <c r="G35" i="3"/>
  <c r="F35" i="3"/>
  <c r="Q35" i="3" s="1"/>
  <c r="R35" i="3" s="1"/>
  <c r="E35" i="3"/>
  <c r="D35" i="3"/>
  <c r="P34" i="3"/>
  <c r="G34" i="3"/>
  <c r="F34" i="3"/>
  <c r="E34" i="3"/>
  <c r="D34" i="3"/>
  <c r="T33" i="3"/>
  <c r="Q33" i="3"/>
  <c r="P33" i="3"/>
  <c r="G33" i="3"/>
  <c r="F33" i="3"/>
  <c r="E33" i="3"/>
  <c r="D33" i="3"/>
  <c r="G32" i="3"/>
  <c r="F32" i="3"/>
  <c r="Q32" i="3" s="1"/>
  <c r="E32" i="3"/>
  <c r="D32" i="3"/>
  <c r="Q31" i="3"/>
  <c r="R31" i="3" s="1"/>
  <c r="P31" i="3"/>
  <c r="G31" i="3"/>
  <c r="F31" i="3"/>
  <c r="T31" i="3" s="1"/>
  <c r="E31" i="3"/>
  <c r="L31" i="3" s="1"/>
  <c r="M31" i="3" s="1"/>
  <c r="D31" i="3"/>
  <c r="H30" i="3"/>
  <c r="G30" i="3"/>
  <c r="F30" i="3"/>
  <c r="E30" i="3"/>
  <c r="D30" i="3"/>
  <c r="P29" i="3"/>
  <c r="G29" i="3"/>
  <c r="F29" i="3"/>
  <c r="T29" i="3" s="1"/>
  <c r="E29" i="3"/>
  <c r="H29" i="3" s="1"/>
  <c r="D29" i="3"/>
  <c r="G28" i="3"/>
  <c r="F28" i="3"/>
  <c r="E28" i="3"/>
  <c r="D28" i="3"/>
  <c r="P27" i="3"/>
  <c r="H27" i="3"/>
  <c r="G27" i="3"/>
  <c r="F27" i="3"/>
  <c r="E27" i="3"/>
  <c r="L27" i="3" s="1"/>
  <c r="D27" i="3"/>
  <c r="Q26" i="3"/>
  <c r="R26" i="3" s="1"/>
  <c r="P26" i="3"/>
  <c r="G26" i="3"/>
  <c r="F26" i="3"/>
  <c r="T26" i="3" s="1"/>
  <c r="E26" i="3"/>
  <c r="D26" i="3"/>
  <c r="G25" i="3"/>
  <c r="F25" i="3"/>
  <c r="T25" i="3" s="1"/>
  <c r="E25" i="3"/>
  <c r="L25" i="3" s="1"/>
  <c r="M25" i="3" s="1"/>
  <c r="D25" i="3"/>
  <c r="P25" i="3" s="1"/>
  <c r="Q24" i="3"/>
  <c r="P24" i="3"/>
  <c r="G24" i="3"/>
  <c r="F24" i="3"/>
  <c r="T24" i="3" s="1"/>
  <c r="E24" i="3"/>
  <c r="L24" i="3" s="1"/>
  <c r="M24" i="3" s="1"/>
  <c r="D24" i="3"/>
  <c r="G23" i="3"/>
  <c r="F23" i="3"/>
  <c r="E23" i="3"/>
  <c r="D23" i="3"/>
  <c r="P22" i="3"/>
  <c r="G22" i="3"/>
  <c r="F22" i="3"/>
  <c r="E22" i="3"/>
  <c r="L22" i="3" s="1"/>
  <c r="M22" i="3" s="1"/>
  <c r="D22" i="3"/>
  <c r="H22" i="3" s="1"/>
  <c r="T21" i="3"/>
  <c r="L21" i="3"/>
  <c r="M21" i="3" s="1"/>
  <c r="H21" i="3"/>
  <c r="G21" i="3"/>
  <c r="F21" i="3"/>
  <c r="Q21" i="3" s="1"/>
  <c r="E21" i="3"/>
  <c r="D21" i="3"/>
  <c r="P21" i="3" s="1"/>
  <c r="T20" i="3"/>
  <c r="L20" i="3"/>
  <c r="M20" i="3" s="1"/>
  <c r="G20" i="3"/>
  <c r="F20" i="3"/>
  <c r="Q20" i="3" s="1"/>
  <c r="E20" i="3"/>
  <c r="D20" i="3"/>
  <c r="P19" i="3"/>
  <c r="G19" i="3"/>
  <c r="F19" i="3"/>
  <c r="T19" i="3" s="1"/>
  <c r="E19" i="3"/>
  <c r="D19" i="3"/>
  <c r="P18" i="3"/>
  <c r="G18" i="3"/>
  <c r="F18" i="3"/>
  <c r="T18" i="3" s="1"/>
  <c r="E18" i="3"/>
  <c r="H18" i="3" s="1"/>
  <c r="D18" i="3"/>
  <c r="P17" i="3"/>
  <c r="G17" i="3"/>
  <c r="F17" i="3"/>
  <c r="T17" i="3" s="1"/>
  <c r="E17" i="3"/>
  <c r="D17" i="3"/>
  <c r="H16" i="3"/>
  <c r="G16" i="3"/>
  <c r="F16" i="3"/>
  <c r="E16" i="3"/>
  <c r="D16" i="3"/>
  <c r="P15" i="3"/>
  <c r="L15" i="3"/>
  <c r="B54" i="6" s="1"/>
  <c r="G15" i="3"/>
  <c r="F15" i="3"/>
  <c r="E15" i="3"/>
  <c r="D15" i="3"/>
  <c r="H15" i="3" s="1"/>
  <c r="H14" i="3"/>
  <c r="G14" i="3"/>
  <c r="F14" i="3"/>
  <c r="T14" i="3" s="1"/>
  <c r="E14" i="3"/>
  <c r="D14" i="3"/>
  <c r="T13" i="3"/>
  <c r="P13" i="3"/>
  <c r="M13" i="3"/>
  <c r="L13" i="3"/>
  <c r="H13" i="3"/>
  <c r="G13" i="3"/>
  <c r="F13" i="3"/>
  <c r="Q13" i="3" s="1"/>
  <c r="E13" i="3"/>
  <c r="D13" i="3"/>
  <c r="Q12" i="3"/>
  <c r="R12" i="3" s="1"/>
  <c r="P12" i="3"/>
  <c r="L12" i="3"/>
  <c r="M12" i="3" s="1"/>
  <c r="H12" i="3"/>
  <c r="G12" i="3"/>
  <c r="F12" i="3"/>
  <c r="T12" i="3" s="1"/>
  <c r="E12" i="3"/>
  <c r="D12" i="3"/>
  <c r="Q11" i="3"/>
  <c r="P11" i="3"/>
  <c r="L11" i="3"/>
  <c r="M11" i="3" s="1"/>
  <c r="H11" i="3"/>
  <c r="G11" i="3"/>
  <c r="F11" i="3"/>
  <c r="T11" i="3" s="1"/>
  <c r="E11" i="3"/>
  <c r="D11" i="3"/>
  <c r="T10" i="3"/>
  <c r="G10" i="3"/>
  <c r="F10" i="3"/>
  <c r="Q10" i="3" s="1"/>
  <c r="E10" i="3"/>
  <c r="H10" i="3" s="1"/>
  <c r="D10" i="3"/>
  <c r="P9" i="3"/>
  <c r="G9" i="3"/>
  <c r="F9" i="3"/>
  <c r="E9" i="3"/>
  <c r="L9" i="3" s="1"/>
  <c r="M9" i="3" s="1"/>
  <c r="D9" i="3"/>
  <c r="P8" i="3"/>
  <c r="H8" i="3"/>
  <c r="G8" i="3"/>
  <c r="F8" i="3"/>
  <c r="T8" i="3" s="1"/>
  <c r="E8" i="3"/>
  <c r="L8" i="3" s="1"/>
  <c r="M8" i="3" s="1"/>
  <c r="D8" i="3"/>
  <c r="G7" i="3"/>
  <c r="F7" i="3"/>
  <c r="Q7" i="3" s="1"/>
  <c r="E7" i="3"/>
  <c r="D7" i="3"/>
  <c r="G6" i="3"/>
  <c r="F6" i="3"/>
  <c r="E6" i="3"/>
  <c r="D6" i="3"/>
  <c r="P5" i="3"/>
  <c r="M5" i="3"/>
  <c r="L5" i="3"/>
  <c r="H5" i="3"/>
  <c r="G5" i="3"/>
  <c r="F5" i="3"/>
  <c r="E5" i="3"/>
  <c r="D5" i="3"/>
  <c r="T4" i="3"/>
  <c r="Q4" i="3"/>
  <c r="N4" i="3"/>
  <c r="I4" i="3"/>
  <c r="J4" i="3" s="1"/>
  <c r="G4" i="3"/>
  <c r="F4" i="3"/>
  <c r="E4" i="3"/>
  <c r="D4" i="3"/>
  <c r="T63" i="2"/>
  <c r="F71" i="6" s="1"/>
  <c r="G63" i="2"/>
  <c r="F63" i="2"/>
  <c r="Q63" i="2" s="1"/>
  <c r="E63" i="2"/>
  <c r="H63" i="2" s="1"/>
  <c r="D63" i="2"/>
  <c r="P62" i="2"/>
  <c r="G62" i="2"/>
  <c r="F62" i="2"/>
  <c r="E62" i="2"/>
  <c r="D62" i="2"/>
  <c r="P61" i="2"/>
  <c r="L61" i="2"/>
  <c r="M61" i="2" s="1"/>
  <c r="G61" i="2"/>
  <c r="F61" i="2"/>
  <c r="T61" i="2" s="1"/>
  <c r="E61" i="2"/>
  <c r="D61" i="2"/>
  <c r="H61" i="2" s="1"/>
  <c r="P60" i="2"/>
  <c r="G60" i="2"/>
  <c r="F60" i="2"/>
  <c r="E60" i="2"/>
  <c r="H60" i="2" s="1"/>
  <c r="D60" i="2"/>
  <c r="T59" i="2"/>
  <c r="L59" i="2"/>
  <c r="M59" i="2" s="1"/>
  <c r="G59" i="2"/>
  <c r="F59" i="2"/>
  <c r="Q59" i="2" s="1"/>
  <c r="E59" i="2"/>
  <c r="D59" i="2"/>
  <c r="Q58" i="2"/>
  <c r="R58" i="2" s="1"/>
  <c r="H58" i="2"/>
  <c r="G58" i="2"/>
  <c r="F58" i="2"/>
  <c r="T58" i="2" s="1"/>
  <c r="E58" i="2"/>
  <c r="L58" i="2" s="1"/>
  <c r="M58" i="2" s="1"/>
  <c r="D58" i="2"/>
  <c r="P58" i="2" s="1"/>
  <c r="Q57" i="2"/>
  <c r="G57" i="2"/>
  <c r="F57" i="2"/>
  <c r="T57" i="2" s="1"/>
  <c r="E57" i="2"/>
  <c r="D57" i="2"/>
  <c r="G56" i="2"/>
  <c r="F56" i="2"/>
  <c r="E56" i="2"/>
  <c r="H56" i="2" s="1"/>
  <c r="D56" i="2"/>
  <c r="P56" i="2" s="1"/>
  <c r="P55" i="2"/>
  <c r="L55" i="2"/>
  <c r="M55" i="2" s="1"/>
  <c r="H55" i="2"/>
  <c r="G55" i="2"/>
  <c r="F55" i="2"/>
  <c r="E55" i="2"/>
  <c r="D55" i="2"/>
  <c r="T54" i="2"/>
  <c r="Q54" i="2"/>
  <c r="G54" i="2"/>
  <c r="F54" i="2"/>
  <c r="E54" i="2"/>
  <c r="D54" i="2"/>
  <c r="G53" i="2"/>
  <c r="F53" i="2"/>
  <c r="E53" i="2"/>
  <c r="D53" i="2"/>
  <c r="H53" i="2" s="1"/>
  <c r="G52" i="2"/>
  <c r="F52" i="2"/>
  <c r="Q52" i="2" s="1"/>
  <c r="E52" i="2"/>
  <c r="D52" i="2"/>
  <c r="Q51" i="2"/>
  <c r="P51" i="2"/>
  <c r="L51" i="2"/>
  <c r="G51" i="2"/>
  <c r="F51" i="2"/>
  <c r="T51" i="2" s="1"/>
  <c r="E71" i="6" s="1"/>
  <c r="E51" i="2"/>
  <c r="D51" i="2"/>
  <c r="P50" i="2"/>
  <c r="G50" i="2"/>
  <c r="F50" i="2"/>
  <c r="E50" i="2"/>
  <c r="H50" i="2" s="1"/>
  <c r="D50" i="2"/>
  <c r="T49" i="2"/>
  <c r="Q49" i="2"/>
  <c r="P49" i="2"/>
  <c r="L49" i="2"/>
  <c r="M49" i="2" s="1"/>
  <c r="G49" i="2"/>
  <c r="F49" i="2"/>
  <c r="E49" i="2"/>
  <c r="H49" i="2" s="1"/>
  <c r="D49" i="2"/>
  <c r="G48" i="2"/>
  <c r="F48" i="2"/>
  <c r="E48" i="2"/>
  <c r="D48" i="2"/>
  <c r="P47" i="2"/>
  <c r="G47" i="2"/>
  <c r="F47" i="2"/>
  <c r="E47" i="2"/>
  <c r="L47" i="2" s="1"/>
  <c r="M47" i="2" s="1"/>
  <c r="D47" i="2"/>
  <c r="G46" i="2"/>
  <c r="F46" i="2"/>
  <c r="E46" i="2"/>
  <c r="D46" i="2"/>
  <c r="G45" i="2"/>
  <c r="F45" i="2"/>
  <c r="E45" i="2"/>
  <c r="D45" i="2"/>
  <c r="G44" i="2"/>
  <c r="F44" i="2"/>
  <c r="T44" i="2" s="1"/>
  <c r="E44" i="2"/>
  <c r="L44" i="2" s="1"/>
  <c r="M44" i="2" s="1"/>
  <c r="D44" i="2"/>
  <c r="H43" i="2"/>
  <c r="G43" i="2"/>
  <c r="F43" i="2"/>
  <c r="T43" i="2" s="1"/>
  <c r="E43" i="2"/>
  <c r="D43" i="2"/>
  <c r="P42" i="2"/>
  <c r="G42" i="2"/>
  <c r="F42" i="2"/>
  <c r="T42" i="2" s="1"/>
  <c r="E42" i="2"/>
  <c r="L42" i="2" s="1"/>
  <c r="M42" i="2" s="1"/>
  <c r="D42" i="2"/>
  <c r="T41" i="2"/>
  <c r="P41" i="2"/>
  <c r="L41" i="2"/>
  <c r="M41" i="2" s="1"/>
  <c r="G41" i="2"/>
  <c r="F41" i="2"/>
  <c r="Q41" i="2" s="1"/>
  <c r="E41" i="2"/>
  <c r="D41" i="2"/>
  <c r="H41" i="2" s="1"/>
  <c r="P40" i="2"/>
  <c r="G40" i="2"/>
  <c r="F40" i="2"/>
  <c r="E40" i="2"/>
  <c r="L40" i="2" s="1"/>
  <c r="M40" i="2" s="1"/>
  <c r="D40" i="2"/>
  <c r="G39" i="2"/>
  <c r="F39" i="2"/>
  <c r="Q39" i="2" s="1"/>
  <c r="E39" i="2"/>
  <c r="D39" i="2"/>
  <c r="G38" i="2"/>
  <c r="F38" i="2"/>
  <c r="E38" i="2"/>
  <c r="H38" i="2" s="1"/>
  <c r="D38" i="2"/>
  <c r="P38" i="2" s="1"/>
  <c r="G37" i="2"/>
  <c r="F37" i="2"/>
  <c r="T37" i="2" s="1"/>
  <c r="E37" i="2"/>
  <c r="L37" i="2" s="1"/>
  <c r="M37" i="2" s="1"/>
  <c r="D37" i="2"/>
  <c r="P37" i="2" s="1"/>
  <c r="G36" i="2"/>
  <c r="F36" i="2"/>
  <c r="E36" i="2"/>
  <c r="L36" i="2" s="1"/>
  <c r="M36" i="2" s="1"/>
  <c r="D36" i="2"/>
  <c r="P36" i="2" s="1"/>
  <c r="Q35" i="2"/>
  <c r="P35" i="2"/>
  <c r="G35" i="2"/>
  <c r="F35" i="2"/>
  <c r="T35" i="2" s="1"/>
  <c r="E35" i="2"/>
  <c r="L35" i="2" s="1"/>
  <c r="M35" i="2" s="1"/>
  <c r="D35" i="2"/>
  <c r="H35" i="2" s="1"/>
  <c r="T34" i="2"/>
  <c r="Q34" i="2"/>
  <c r="P34" i="2"/>
  <c r="G34" i="2"/>
  <c r="F34" i="2"/>
  <c r="E34" i="2"/>
  <c r="D34" i="2"/>
  <c r="P33" i="2"/>
  <c r="G33" i="2"/>
  <c r="F33" i="2"/>
  <c r="T33" i="2" s="1"/>
  <c r="E33" i="2"/>
  <c r="D33" i="2"/>
  <c r="G32" i="2"/>
  <c r="F32" i="2"/>
  <c r="Q32" i="2" s="1"/>
  <c r="E32" i="2"/>
  <c r="D32" i="2"/>
  <c r="P31" i="2"/>
  <c r="G31" i="2"/>
  <c r="F31" i="2"/>
  <c r="E31" i="2"/>
  <c r="L31" i="2" s="1"/>
  <c r="M31" i="2" s="1"/>
  <c r="D31" i="2"/>
  <c r="G30" i="2"/>
  <c r="F30" i="2"/>
  <c r="E30" i="2"/>
  <c r="D30" i="2"/>
  <c r="P29" i="2"/>
  <c r="G29" i="2"/>
  <c r="F29" i="2"/>
  <c r="E29" i="2"/>
  <c r="L29" i="2" s="1"/>
  <c r="M29" i="2" s="1"/>
  <c r="D29" i="2"/>
  <c r="T28" i="2"/>
  <c r="P28" i="2"/>
  <c r="L28" i="2"/>
  <c r="M28" i="2" s="1"/>
  <c r="G28" i="2"/>
  <c r="F28" i="2"/>
  <c r="Q28" i="2" s="1"/>
  <c r="E28" i="2"/>
  <c r="D28" i="2"/>
  <c r="H28" i="2" s="1"/>
  <c r="Q27" i="2"/>
  <c r="G27" i="2"/>
  <c r="F27" i="2"/>
  <c r="T27" i="2" s="1"/>
  <c r="C71" i="6" s="1"/>
  <c r="E27" i="2"/>
  <c r="D27" i="2"/>
  <c r="T26" i="2"/>
  <c r="P26" i="2"/>
  <c r="G26" i="2"/>
  <c r="F26" i="2"/>
  <c r="Q26" i="2" s="1"/>
  <c r="E26" i="2"/>
  <c r="D26" i="2"/>
  <c r="G25" i="2"/>
  <c r="F25" i="2"/>
  <c r="Q25" i="2" s="1"/>
  <c r="E25" i="2"/>
  <c r="D25" i="2"/>
  <c r="P24" i="2"/>
  <c r="L24" i="2"/>
  <c r="M24" i="2" s="1"/>
  <c r="H24" i="2"/>
  <c r="G24" i="2"/>
  <c r="F24" i="2"/>
  <c r="E24" i="2"/>
  <c r="D24" i="2"/>
  <c r="T23" i="2"/>
  <c r="Q23" i="2"/>
  <c r="G23" i="2"/>
  <c r="F23" i="2"/>
  <c r="E23" i="2"/>
  <c r="D23" i="2"/>
  <c r="P23" i="2" s="1"/>
  <c r="T22" i="2"/>
  <c r="Q22" i="2"/>
  <c r="G22" i="2"/>
  <c r="F22" i="2"/>
  <c r="E22" i="2"/>
  <c r="D22" i="2"/>
  <c r="L22" i="2" s="1"/>
  <c r="M22" i="2" s="1"/>
  <c r="T21" i="2"/>
  <c r="Q21" i="2"/>
  <c r="P21" i="2"/>
  <c r="G21" i="2"/>
  <c r="F21" i="2"/>
  <c r="E21" i="2"/>
  <c r="D21" i="2"/>
  <c r="H21" i="2" s="1"/>
  <c r="G20" i="2"/>
  <c r="F20" i="2"/>
  <c r="E20" i="2"/>
  <c r="H20" i="2" s="1"/>
  <c r="D20" i="2"/>
  <c r="P19" i="2"/>
  <c r="G19" i="2"/>
  <c r="F19" i="2"/>
  <c r="E19" i="2"/>
  <c r="L19" i="2" s="1"/>
  <c r="M19" i="2" s="1"/>
  <c r="D19" i="2"/>
  <c r="T18" i="2"/>
  <c r="Q18" i="2"/>
  <c r="P18" i="2"/>
  <c r="R18" i="2" s="1"/>
  <c r="G18" i="2"/>
  <c r="F18" i="2"/>
  <c r="E18" i="2"/>
  <c r="H18" i="2" s="1"/>
  <c r="D18" i="2"/>
  <c r="P17" i="2"/>
  <c r="G17" i="2"/>
  <c r="F17" i="2"/>
  <c r="T17" i="2" s="1"/>
  <c r="E17" i="2"/>
  <c r="D17" i="2"/>
  <c r="H16" i="2"/>
  <c r="G16" i="2"/>
  <c r="F16" i="2"/>
  <c r="Q16" i="2" s="1"/>
  <c r="E16" i="2"/>
  <c r="D16" i="2"/>
  <c r="P15" i="2"/>
  <c r="L15" i="2"/>
  <c r="B53" i="6" s="1"/>
  <c r="G15" i="2"/>
  <c r="F15" i="2"/>
  <c r="T15" i="2" s="1"/>
  <c r="B71" i="6" s="1"/>
  <c r="E15" i="2"/>
  <c r="H15" i="2" s="1"/>
  <c r="D15" i="2"/>
  <c r="Q14" i="2"/>
  <c r="L14" i="2"/>
  <c r="M14" i="2" s="1"/>
  <c r="H14" i="2"/>
  <c r="G14" i="2"/>
  <c r="F14" i="2"/>
  <c r="T14" i="2" s="1"/>
  <c r="E14" i="2"/>
  <c r="D14" i="2"/>
  <c r="P14" i="2" s="1"/>
  <c r="T13" i="2"/>
  <c r="H13" i="2"/>
  <c r="G13" i="2"/>
  <c r="F13" i="2"/>
  <c r="Q13" i="2" s="1"/>
  <c r="E13" i="2"/>
  <c r="L13" i="2" s="1"/>
  <c r="M13" i="2" s="1"/>
  <c r="D13" i="2"/>
  <c r="P13" i="2" s="1"/>
  <c r="R13" i="2" s="1"/>
  <c r="P12" i="2"/>
  <c r="G12" i="2"/>
  <c r="F12" i="2"/>
  <c r="T12" i="2" s="1"/>
  <c r="E12" i="2"/>
  <c r="L12" i="2" s="1"/>
  <c r="M12" i="2" s="1"/>
  <c r="D12" i="2"/>
  <c r="G11" i="2"/>
  <c r="F11" i="2"/>
  <c r="T11" i="2" s="1"/>
  <c r="E11" i="2"/>
  <c r="H11" i="2" s="1"/>
  <c r="D11" i="2"/>
  <c r="T10" i="2"/>
  <c r="L10" i="2"/>
  <c r="M10" i="2" s="1"/>
  <c r="G10" i="2"/>
  <c r="F10" i="2"/>
  <c r="Q10" i="2" s="1"/>
  <c r="E10" i="2"/>
  <c r="H10" i="2" s="1"/>
  <c r="D10" i="2"/>
  <c r="P10" i="2" s="1"/>
  <c r="T9" i="2"/>
  <c r="Q9" i="2"/>
  <c r="P9" i="2"/>
  <c r="L9" i="2"/>
  <c r="M9" i="2" s="1"/>
  <c r="H9" i="2"/>
  <c r="G9" i="2"/>
  <c r="F9" i="2"/>
  <c r="E9" i="2"/>
  <c r="D9" i="2"/>
  <c r="P8" i="2"/>
  <c r="L8" i="2"/>
  <c r="M8" i="2" s="1"/>
  <c r="G8" i="2"/>
  <c r="F8" i="2"/>
  <c r="T8" i="2" s="1"/>
  <c r="E8" i="2"/>
  <c r="H8" i="2" s="1"/>
  <c r="D8" i="2"/>
  <c r="T7" i="2"/>
  <c r="Q7" i="2"/>
  <c r="G7" i="2"/>
  <c r="F7" i="2"/>
  <c r="E7" i="2"/>
  <c r="H7" i="2" s="1"/>
  <c r="D7" i="2"/>
  <c r="P6" i="2"/>
  <c r="L6" i="2"/>
  <c r="M6" i="2" s="1"/>
  <c r="G6" i="2"/>
  <c r="F6" i="2"/>
  <c r="T6" i="2" s="1"/>
  <c r="E6" i="2"/>
  <c r="D6" i="2"/>
  <c r="H6" i="2" s="1"/>
  <c r="Q5" i="2"/>
  <c r="R5" i="2" s="1"/>
  <c r="P5" i="2"/>
  <c r="G5" i="2"/>
  <c r="F5" i="2"/>
  <c r="T5" i="2" s="1"/>
  <c r="E5" i="2"/>
  <c r="D5" i="2"/>
  <c r="N4" i="2"/>
  <c r="I4" i="2"/>
  <c r="G4" i="2"/>
  <c r="F4" i="2"/>
  <c r="Q4" i="2" s="1"/>
  <c r="E4" i="2"/>
  <c r="D4" i="2"/>
  <c r="P4" i="2" s="1"/>
  <c r="R4" i="2" s="1"/>
  <c r="K4" i="3" l="1"/>
  <c r="W4" i="3" s="1"/>
  <c r="I5" i="3"/>
  <c r="C54" i="6"/>
  <c r="M27" i="3"/>
  <c r="C60" i="6" s="1"/>
  <c r="Q36" i="3"/>
  <c r="R36" i="3" s="1"/>
  <c r="H52" i="3"/>
  <c r="H62" i="3"/>
  <c r="L58" i="4"/>
  <c r="M58" i="4" s="1"/>
  <c r="H7" i="5"/>
  <c r="H25" i="5"/>
  <c r="T40" i="5"/>
  <c r="R17" i="2"/>
  <c r="H29" i="2"/>
  <c r="Q17" i="2"/>
  <c r="H37" i="2"/>
  <c r="H40" i="2"/>
  <c r="H42" i="2"/>
  <c r="L29" i="3"/>
  <c r="M29" i="3" s="1"/>
  <c r="H13" i="4"/>
  <c r="Q31" i="4"/>
  <c r="H39" i="4"/>
  <c r="R43" i="4"/>
  <c r="Q50" i="4"/>
  <c r="R50" i="4" s="1"/>
  <c r="R60" i="4"/>
  <c r="R21" i="5"/>
  <c r="Q37" i="5"/>
  <c r="Q43" i="5"/>
  <c r="Q52" i="5"/>
  <c r="Q44" i="2"/>
  <c r="Q8" i="3"/>
  <c r="R8" i="3" s="1"/>
  <c r="T48" i="3"/>
  <c r="R57" i="3"/>
  <c r="T21" i="4"/>
  <c r="T43" i="4"/>
  <c r="L46" i="4"/>
  <c r="M46" i="4" s="1"/>
  <c r="H59" i="4"/>
  <c r="T60" i="4"/>
  <c r="T23" i="5"/>
  <c r="Q29" i="5"/>
  <c r="R29" i="5" s="1"/>
  <c r="L59" i="5"/>
  <c r="M59" i="5" s="1"/>
  <c r="H25" i="2"/>
  <c r="Q37" i="2"/>
  <c r="H51" i="2"/>
  <c r="Q17" i="3"/>
  <c r="R17" i="3" s="1"/>
  <c r="Q29" i="3"/>
  <c r="Q52" i="3"/>
  <c r="R52" i="3" s="1"/>
  <c r="Q57" i="3"/>
  <c r="R33" i="2"/>
  <c r="Q42" i="2"/>
  <c r="R42" i="2" s="1"/>
  <c r="Q61" i="2"/>
  <c r="R61" i="2" s="1"/>
  <c r="T46" i="3"/>
  <c r="R8" i="4"/>
  <c r="Q13" i="4"/>
  <c r="R13" i="4" s="1"/>
  <c r="Q39" i="4"/>
  <c r="R39" i="4" s="1"/>
  <c r="D67" i="6" s="1"/>
  <c r="R23" i="2"/>
  <c r="Q33" i="2"/>
  <c r="R35" i="2"/>
  <c r="H57" i="2"/>
  <c r="Q41" i="3"/>
  <c r="Q55" i="3"/>
  <c r="R55" i="3" s="1"/>
  <c r="L18" i="2"/>
  <c r="M18" i="2" s="1"/>
  <c r="L34" i="2"/>
  <c r="M34" i="2" s="1"/>
  <c r="M15" i="3"/>
  <c r="B60" i="6" s="1"/>
  <c r="T32" i="3"/>
  <c r="T44" i="3"/>
  <c r="Q62" i="3"/>
  <c r="R62" i="3" s="1"/>
  <c r="H9" i="4"/>
  <c r="H22" i="4"/>
  <c r="H32" i="4"/>
  <c r="Q21" i="5"/>
  <c r="H24" i="5"/>
  <c r="Q44" i="5"/>
  <c r="Q47" i="5"/>
  <c r="Q53" i="5"/>
  <c r="T56" i="5"/>
  <c r="Q59" i="5"/>
  <c r="R51" i="2"/>
  <c r="E65" i="6" s="1"/>
  <c r="R11" i="3"/>
  <c r="Q25" i="3"/>
  <c r="Q37" i="3"/>
  <c r="R37" i="3" s="1"/>
  <c r="Q6" i="4"/>
  <c r="R6" i="4" s="1"/>
  <c r="Q44" i="4"/>
  <c r="R44" i="4" s="1"/>
  <c r="Q13" i="5"/>
  <c r="L34" i="5"/>
  <c r="M34" i="5" s="1"/>
  <c r="R10" i="2"/>
  <c r="R14" i="2"/>
  <c r="R28" i="2"/>
  <c r="H9" i="3"/>
  <c r="L18" i="3"/>
  <c r="M18" i="3" s="1"/>
  <c r="R49" i="3"/>
  <c r="H5" i="4"/>
  <c r="T16" i="4"/>
  <c r="H38" i="4"/>
  <c r="Q8" i="5"/>
  <c r="R8" i="5" s="1"/>
  <c r="Q26" i="5"/>
  <c r="H45" i="5"/>
  <c r="Q6" i="2"/>
  <c r="R6" i="2" s="1"/>
  <c r="H5" i="2"/>
  <c r="I5" i="2" s="1"/>
  <c r="R41" i="2"/>
  <c r="H24" i="3"/>
  <c r="H31" i="3"/>
  <c r="H38" i="3"/>
  <c r="Q49" i="3"/>
  <c r="Q22" i="4"/>
  <c r="R22" i="4" s="1"/>
  <c r="R42" i="4"/>
  <c r="R24" i="5"/>
  <c r="H36" i="2"/>
  <c r="Q43" i="2"/>
  <c r="Q18" i="3"/>
  <c r="R18" i="3" s="1"/>
  <c r="R31" i="4"/>
  <c r="Q32" i="4"/>
  <c r="R32" i="4" s="1"/>
  <c r="T16" i="2"/>
  <c r="R26" i="2"/>
  <c r="R9" i="2"/>
  <c r="H12" i="2"/>
  <c r="R21" i="2"/>
  <c r="R34" i="2"/>
  <c r="R33" i="3"/>
  <c r="R37" i="2"/>
  <c r="K5" i="3"/>
  <c r="R40" i="3"/>
  <c r="R45" i="3"/>
  <c r="H48" i="3"/>
  <c r="L57" i="3"/>
  <c r="M57" i="3" s="1"/>
  <c r="T20" i="4"/>
  <c r="R52" i="5"/>
  <c r="Q60" i="5"/>
  <c r="L50" i="2"/>
  <c r="M50" i="2" s="1"/>
  <c r="T52" i="2"/>
  <c r="R5" i="4"/>
  <c r="P22" i="2"/>
  <c r="R22" i="2" s="1"/>
  <c r="H46" i="2"/>
  <c r="P46" i="2"/>
  <c r="R46" i="2" s="1"/>
  <c r="P46" i="3"/>
  <c r="R46" i="3" s="1"/>
  <c r="L46" i="3"/>
  <c r="M46" i="3" s="1"/>
  <c r="H46" i="3"/>
  <c r="L16" i="2"/>
  <c r="M16" i="2" s="1"/>
  <c r="P16" i="2"/>
  <c r="R16" i="2" s="1"/>
  <c r="T38" i="2"/>
  <c r="Q38" i="2"/>
  <c r="R38" i="2" s="1"/>
  <c r="Q56" i="2"/>
  <c r="R56" i="2" s="1"/>
  <c r="T56" i="2"/>
  <c r="Q36" i="2"/>
  <c r="R36" i="2" s="1"/>
  <c r="T36" i="2"/>
  <c r="T46" i="2"/>
  <c r="Q46" i="2"/>
  <c r="T9" i="3"/>
  <c r="Q9" i="3"/>
  <c r="L17" i="3"/>
  <c r="M17" i="3" s="1"/>
  <c r="H17" i="3"/>
  <c r="P32" i="3"/>
  <c r="R32" i="3" s="1"/>
  <c r="L32" i="3"/>
  <c r="M32" i="3" s="1"/>
  <c r="H32" i="3"/>
  <c r="L34" i="3"/>
  <c r="M34" i="3" s="1"/>
  <c r="H34" i="3"/>
  <c r="Q27" i="4"/>
  <c r="T27" i="4"/>
  <c r="C73" i="6" s="1"/>
  <c r="P11" i="2"/>
  <c r="L11" i="2"/>
  <c r="M11" i="2" s="1"/>
  <c r="T34" i="3"/>
  <c r="Q34" i="3"/>
  <c r="R34" i="3" s="1"/>
  <c r="Q39" i="3"/>
  <c r="T39" i="3"/>
  <c r="D72" i="6" s="1"/>
  <c r="T4" i="2"/>
  <c r="L26" i="2"/>
  <c r="M26" i="2" s="1"/>
  <c r="H26" i="2"/>
  <c r="L32" i="2"/>
  <c r="M32" i="2" s="1"/>
  <c r="P32" i="2"/>
  <c r="R32" i="2" s="1"/>
  <c r="H32" i="2"/>
  <c r="L46" i="2"/>
  <c r="M46" i="2" s="1"/>
  <c r="L48" i="2"/>
  <c r="M48" i="2" s="1"/>
  <c r="P48" i="2"/>
  <c r="H48" i="2"/>
  <c r="T15" i="3"/>
  <c r="B72" i="6" s="1"/>
  <c r="Q15" i="3"/>
  <c r="R15" i="3" s="1"/>
  <c r="B66" i="6" s="1"/>
  <c r="I5" i="4"/>
  <c r="K4" i="4"/>
  <c r="J4" i="4"/>
  <c r="H8" i="4"/>
  <c r="L8" i="4"/>
  <c r="M8" i="4" s="1"/>
  <c r="T55" i="2"/>
  <c r="Q55" i="2"/>
  <c r="R55" i="2" s="1"/>
  <c r="T24" i="2"/>
  <c r="Q24" i="2"/>
  <c r="R24" i="2" s="1"/>
  <c r="Q45" i="2"/>
  <c r="T45" i="2"/>
  <c r="L11" i="4"/>
  <c r="M11" i="4" s="1"/>
  <c r="H11" i="4"/>
  <c r="Q12" i="2"/>
  <c r="R12" i="2" s="1"/>
  <c r="L39" i="2"/>
  <c r="H39" i="2"/>
  <c r="P39" i="2"/>
  <c r="R39" i="2" s="1"/>
  <c r="D65" i="6" s="1"/>
  <c r="T47" i="2"/>
  <c r="Q47" i="2"/>
  <c r="R47" i="2" s="1"/>
  <c r="T40" i="2"/>
  <c r="Q40" i="2"/>
  <c r="Q14" i="4"/>
  <c r="T14" i="4"/>
  <c r="P45" i="2"/>
  <c r="L45" i="2"/>
  <c r="M45" i="2" s="1"/>
  <c r="L23" i="2"/>
  <c r="M23" i="2" s="1"/>
  <c r="H23" i="2"/>
  <c r="T31" i="2"/>
  <c r="Q31" i="2"/>
  <c r="R31" i="2" s="1"/>
  <c r="Q6" i="3"/>
  <c r="T6" i="3"/>
  <c r="T22" i="3"/>
  <c r="Q22" i="3"/>
  <c r="R22" i="3" s="1"/>
  <c r="H31" i="2"/>
  <c r="Q7" i="5"/>
  <c r="T7" i="5"/>
  <c r="Q8" i="2"/>
  <c r="R8" i="2" s="1"/>
  <c r="H30" i="2"/>
  <c r="P30" i="2"/>
  <c r="T32" i="2"/>
  <c r="H45" i="2"/>
  <c r="H4" i="2"/>
  <c r="H44" i="2"/>
  <c r="P44" i="2"/>
  <c r="R44" i="2" s="1"/>
  <c r="L57" i="2"/>
  <c r="M57" i="2" s="1"/>
  <c r="T5" i="3"/>
  <c r="Q5" i="3"/>
  <c r="R5" i="3" s="1"/>
  <c r="P23" i="3"/>
  <c r="L23" i="3"/>
  <c r="M23" i="3" s="1"/>
  <c r="H23" i="3"/>
  <c r="R24" i="3"/>
  <c r="T63" i="3"/>
  <c r="F72" i="6" s="1"/>
  <c r="Q63" i="3"/>
  <c r="L20" i="5"/>
  <c r="M20" i="5" s="1"/>
  <c r="H20" i="5"/>
  <c r="P20" i="5"/>
  <c r="T37" i="4"/>
  <c r="Q37" i="4"/>
  <c r="H15" i="4"/>
  <c r="L15" i="4"/>
  <c r="P15" i="4"/>
  <c r="R15" i="4" s="1"/>
  <c r="B67" i="6" s="1"/>
  <c r="Q11" i="2"/>
  <c r="H22" i="2"/>
  <c r="T30" i="2"/>
  <c r="Q30" i="2"/>
  <c r="H47" i="2"/>
  <c r="L54" i="2"/>
  <c r="M54" i="2" s="1"/>
  <c r="H54" i="2"/>
  <c r="P54" i="2"/>
  <c r="R54" i="2" s="1"/>
  <c r="T48" i="2"/>
  <c r="Q48" i="2"/>
  <c r="H36" i="3"/>
  <c r="L36" i="3"/>
  <c r="M36" i="3" s="1"/>
  <c r="M15" i="2"/>
  <c r="B59" i="6" s="1"/>
  <c r="K4" i="2"/>
  <c r="Q15" i="2"/>
  <c r="R15" i="2" s="1"/>
  <c r="B65" i="6" s="1"/>
  <c r="P20" i="2"/>
  <c r="L20" i="2"/>
  <c r="M20" i="2" s="1"/>
  <c r="J4" i="2"/>
  <c r="L7" i="2"/>
  <c r="M7" i="2" s="1"/>
  <c r="P7" i="2"/>
  <c r="R7" i="2" s="1"/>
  <c r="T25" i="2"/>
  <c r="L62" i="2"/>
  <c r="M62" i="2" s="1"/>
  <c r="H62" i="2"/>
  <c r="Q19" i="3"/>
  <c r="R19" i="3" s="1"/>
  <c r="Q23" i="3"/>
  <c r="T23" i="3"/>
  <c r="H28" i="3"/>
  <c r="P28" i="3"/>
  <c r="L28" i="3"/>
  <c r="M28" i="3" s="1"/>
  <c r="P44" i="3"/>
  <c r="R44" i="3" s="1"/>
  <c r="H44" i="3"/>
  <c r="P52" i="4"/>
  <c r="L52" i="4"/>
  <c r="M52" i="4" s="1"/>
  <c r="H52" i="4"/>
  <c r="H57" i="4"/>
  <c r="L57" i="4"/>
  <c r="M57" i="4" s="1"/>
  <c r="P57" i="4"/>
  <c r="R57" i="4" s="1"/>
  <c r="Q20" i="5"/>
  <c r="T20" i="5"/>
  <c r="L53" i="2"/>
  <c r="M53" i="2" s="1"/>
  <c r="P53" i="2"/>
  <c r="P25" i="2"/>
  <c r="R25" i="2" s="1"/>
  <c r="L25" i="2"/>
  <c r="M25" i="2" s="1"/>
  <c r="T53" i="2"/>
  <c r="Q53" i="2"/>
  <c r="Q20" i="2"/>
  <c r="T20" i="2"/>
  <c r="P52" i="2"/>
  <c r="R52" i="2" s="1"/>
  <c r="L52" i="2"/>
  <c r="M52" i="2" s="1"/>
  <c r="H52" i="2"/>
  <c r="P57" i="2"/>
  <c r="R57" i="2" s="1"/>
  <c r="H4" i="3"/>
  <c r="P4" i="3"/>
  <c r="R4" i="3" s="1"/>
  <c r="L4" i="3"/>
  <c r="M4" i="3" s="1"/>
  <c r="Q16" i="3"/>
  <c r="T16" i="3"/>
  <c r="L42" i="3"/>
  <c r="M42" i="3" s="1"/>
  <c r="H42" i="3"/>
  <c r="P42" i="3"/>
  <c r="T33" i="4"/>
  <c r="Q33" i="4"/>
  <c r="R33" i="4" s="1"/>
  <c r="T50" i="2"/>
  <c r="Q50" i="2"/>
  <c r="R50" i="2" s="1"/>
  <c r="L4" i="2"/>
  <c r="M4" i="2" s="1"/>
  <c r="L5" i="2"/>
  <c r="M5" i="2" s="1"/>
  <c r="L17" i="2"/>
  <c r="M17" i="2" s="1"/>
  <c r="H17" i="2"/>
  <c r="T19" i="2"/>
  <c r="Q19" i="2"/>
  <c r="R19" i="2" s="1"/>
  <c r="L21" i="2"/>
  <c r="M21" i="2" s="1"/>
  <c r="Q29" i="2"/>
  <c r="R29" i="2" s="1"/>
  <c r="T29" i="2"/>
  <c r="L30" i="2"/>
  <c r="M30" i="2" s="1"/>
  <c r="L33" i="2"/>
  <c r="M33" i="2" s="1"/>
  <c r="H33" i="2"/>
  <c r="T39" i="2"/>
  <c r="D71" i="6" s="1"/>
  <c r="T28" i="3"/>
  <c r="Q28" i="3"/>
  <c r="T30" i="3"/>
  <c r="Q30" i="3"/>
  <c r="R38" i="3"/>
  <c r="P7" i="4"/>
  <c r="R7" i="4" s="1"/>
  <c r="L7" i="4"/>
  <c r="M7" i="4" s="1"/>
  <c r="H7" i="4"/>
  <c r="R40" i="2"/>
  <c r="P7" i="3"/>
  <c r="R7" i="3" s="1"/>
  <c r="L7" i="3"/>
  <c r="M7" i="3" s="1"/>
  <c r="H7" i="3"/>
  <c r="L61" i="3"/>
  <c r="M61" i="3" s="1"/>
  <c r="H61" i="3"/>
  <c r="P61" i="3"/>
  <c r="R61" i="3" s="1"/>
  <c r="T4" i="4"/>
  <c r="Q4" i="4"/>
  <c r="R4" i="4" s="1"/>
  <c r="P20" i="4"/>
  <c r="R20" i="4" s="1"/>
  <c r="L20" i="4"/>
  <c r="M20" i="4" s="1"/>
  <c r="D55" i="6"/>
  <c r="M39" i="4"/>
  <c r="D61" i="6" s="1"/>
  <c r="Q52" i="4"/>
  <c r="T52" i="4"/>
  <c r="H6" i="3"/>
  <c r="I6" i="3" s="1"/>
  <c r="P6" i="3"/>
  <c r="L16" i="3"/>
  <c r="M16" i="3" s="1"/>
  <c r="H33" i="3"/>
  <c r="L33" i="3"/>
  <c r="M33" i="3" s="1"/>
  <c r="L54" i="3"/>
  <c r="M54" i="3" s="1"/>
  <c r="H54" i="3"/>
  <c r="P54" i="3"/>
  <c r="R54" i="3" s="1"/>
  <c r="P27" i="2"/>
  <c r="R27" i="2" s="1"/>
  <c r="C65" i="6" s="1"/>
  <c r="L27" i="2"/>
  <c r="T62" i="2"/>
  <c r="Q62" i="2"/>
  <c r="R62" i="2" s="1"/>
  <c r="P14" i="3"/>
  <c r="L14" i="3"/>
  <c r="M14" i="3" s="1"/>
  <c r="P16" i="3"/>
  <c r="P20" i="3"/>
  <c r="R20" i="3" s="1"/>
  <c r="H20" i="3"/>
  <c r="R21" i="3"/>
  <c r="P48" i="3"/>
  <c r="R48" i="3" s="1"/>
  <c r="L12" i="4"/>
  <c r="M12" i="4" s="1"/>
  <c r="H12" i="4"/>
  <c r="P12" i="4"/>
  <c r="R12" i="4" s="1"/>
  <c r="L38" i="2"/>
  <c r="M38" i="2" s="1"/>
  <c r="L60" i="2"/>
  <c r="M60" i="2" s="1"/>
  <c r="X4" i="3"/>
  <c r="J5" i="3"/>
  <c r="T7" i="3"/>
  <c r="O4" i="3"/>
  <c r="L6" i="3"/>
  <c r="M6" i="3" s="1"/>
  <c r="P41" i="3"/>
  <c r="R41" i="3" s="1"/>
  <c r="H41" i="3"/>
  <c r="T56" i="3"/>
  <c r="Q56" i="3"/>
  <c r="R56" i="3" s="1"/>
  <c r="T59" i="3"/>
  <c r="Q59" i="3"/>
  <c r="R59" i="3" s="1"/>
  <c r="H17" i="4"/>
  <c r="P17" i="4"/>
  <c r="R17" i="4" s="1"/>
  <c r="Q46" i="4"/>
  <c r="T46" i="4"/>
  <c r="Q60" i="2"/>
  <c r="R60" i="2" s="1"/>
  <c r="T60" i="2"/>
  <c r="L35" i="3"/>
  <c r="M35" i="3" s="1"/>
  <c r="H35" i="3"/>
  <c r="H27" i="2"/>
  <c r="H34" i="2"/>
  <c r="H59" i="2"/>
  <c r="P59" i="2"/>
  <c r="R59" i="2" s="1"/>
  <c r="T17" i="4"/>
  <c r="Q17" i="4"/>
  <c r="P19" i="4"/>
  <c r="L19" i="4"/>
  <c r="M19" i="4" s="1"/>
  <c r="H19" i="4"/>
  <c r="H19" i="2"/>
  <c r="P43" i="2"/>
  <c r="L43" i="2"/>
  <c r="M43" i="2" s="1"/>
  <c r="E53" i="6"/>
  <c r="M51" i="2"/>
  <c r="E59" i="6" s="1"/>
  <c r="N5" i="3"/>
  <c r="P14" i="4"/>
  <c r="R14" i="4" s="1"/>
  <c r="L14" i="4"/>
  <c r="M14" i="4" s="1"/>
  <c r="H14" i="4"/>
  <c r="L35" i="4"/>
  <c r="M35" i="4" s="1"/>
  <c r="H35" i="4"/>
  <c r="P35" i="4"/>
  <c r="R35" i="4" s="1"/>
  <c r="R49" i="2"/>
  <c r="P30" i="3"/>
  <c r="L30" i="3"/>
  <c r="M30" i="3" s="1"/>
  <c r="P27" i="4"/>
  <c r="L27" i="4"/>
  <c r="H27" i="4"/>
  <c r="T29" i="4"/>
  <c r="Q29" i="4"/>
  <c r="R29" i="4" s="1"/>
  <c r="R46" i="4"/>
  <c r="L43" i="4"/>
  <c r="M43" i="4" s="1"/>
  <c r="H43" i="4"/>
  <c r="H13" i="5"/>
  <c r="P13" i="5"/>
  <c r="R13" i="5" s="1"/>
  <c r="L13" i="5"/>
  <c r="M13" i="5" s="1"/>
  <c r="Q22" i="5"/>
  <c r="T22" i="5"/>
  <c r="L63" i="2"/>
  <c r="L10" i="3"/>
  <c r="M10" i="3" s="1"/>
  <c r="T43" i="3"/>
  <c r="Q43" i="3"/>
  <c r="R43" i="3" s="1"/>
  <c r="P23" i="4"/>
  <c r="H23" i="4"/>
  <c r="H28" i="4"/>
  <c r="P28" i="4"/>
  <c r="R28" i="4" s="1"/>
  <c r="L28" i="4"/>
  <c r="M28" i="4" s="1"/>
  <c r="P34" i="4"/>
  <c r="L34" i="4"/>
  <c r="M34" i="4" s="1"/>
  <c r="P10" i="4"/>
  <c r="H10" i="4"/>
  <c r="L53" i="4"/>
  <c r="M53" i="4" s="1"/>
  <c r="H53" i="4"/>
  <c r="P56" i="4"/>
  <c r="R56" i="4" s="1"/>
  <c r="L56" i="4"/>
  <c r="M56" i="4" s="1"/>
  <c r="H56" i="4"/>
  <c r="P12" i="5"/>
  <c r="L12" i="5"/>
  <c r="M12" i="5" s="1"/>
  <c r="L14" i="5"/>
  <c r="M14" i="5" s="1"/>
  <c r="H14" i="5"/>
  <c r="R9" i="3"/>
  <c r="R13" i="3"/>
  <c r="Q14" i="3"/>
  <c r="R25" i="3"/>
  <c r="Q42" i="3"/>
  <c r="R53" i="3"/>
  <c r="P60" i="3"/>
  <c r="R60" i="3" s="1"/>
  <c r="L60" i="3"/>
  <c r="M60" i="3" s="1"/>
  <c r="Q34" i="4"/>
  <c r="T34" i="4"/>
  <c r="P36" i="5"/>
  <c r="R36" i="5" s="1"/>
  <c r="L36" i="5"/>
  <c r="M36" i="5" s="1"/>
  <c r="H36" i="5"/>
  <c r="L56" i="2"/>
  <c r="M56" i="2" s="1"/>
  <c r="R29" i="3"/>
  <c r="L37" i="3"/>
  <c r="M37" i="3" s="1"/>
  <c r="H49" i="3"/>
  <c r="R63" i="3"/>
  <c r="F66" i="6" s="1"/>
  <c r="T10" i="4"/>
  <c r="Q10" i="4"/>
  <c r="L21" i="4"/>
  <c r="M21" i="4" s="1"/>
  <c r="H21" i="4"/>
  <c r="P21" i="4"/>
  <c r="R21" i="4" s="1"/>
  <c r="P49" i="4"/>
  <c r="R49" i="4" s="1"/>
  <c r="L49" i="4"/>
  <c r="M49" i="4" s="1"/>
  <c r="H49" i="4"/>
  <c r="L26" i="3"/>
  <c r="M26" i="3" s="1"/>
  <c r="H26" i="3"/>
  <c r="Q53" i="3"/>
  <c r="T53" i="3"/>
  <c r="P18" i="4"/>
  <c r="R18" i="4" s="1"/>
  <c r="L18" i="4"/>
  <c r="M18" i="4" s="1"/>
  <c r="Q19" i="4"/>
  <c r="H34" i="4"/>
  <c r="P63" i="2"/>
  <c r="R63" i="2" s="1"/>
  <c r="F65" i="6" s="1"/>
  <c r="P10" i="3"/>
  <c r="R10" i="3" s="1"/>
  <c r="P39" i="3"/>
  <c r="R39" i="3" s="1"/>
  <c r="D66" i="6" s="1"/>
  <c r="L39" i="3"/>
  <c r="T50" i="3"/>
  <c r="Q50" i="3"/>
  <c r="R50" i="3" s="1"/>
  <c r="L51" i="3"/>
  <c r="H51" i="3"/>
  <c r="Q11" i="4"/>
  <c r="R11" i="4" s="1"/>
  <c r="T30" i="4"/>
  <c r="Q30" i="4"/>
  <c r="T36" i="4"/>
  <c r="Q36" i="4"/>
  <c r="R36" i="4" s="1"/>
  <c r="H12" i="5"/>
  <c r="L19" i="3"/>
  <c r="M19" i="3" s="1"/>
  <c r="H19" i="3"/>
  <c r="H25" i="3"/>
  <c r="T27" i="3"/>
  <c r="C72" i="6" s="1"/>
  <c r="Q27" i="3"/>
  <c r="R27" i="3" s="1"/>
  <c r="C66" i="6" s="1"/>
  <c r="H53" i="3"/>
  <c r="H60" i="3"/>
  <c r="L10" i="4"/>
  <c r="M10" i="4" s="1"/>
  <c r="P24" i="4"/>
  <c r="R24" i="4" s="1"/>
  <c r="L24" i="4"/>
  <c r="M24" i="4" s="1"/>
  <c r="H24" i="4"/>
  <c r="Q53" i="4"/>
  <c r="Q61" i="4"/>
  <c r="R61" i="4" s="1"/>
  <c r="L15" i="5"/>
  <c r="H15" i="5"/>
  <c r="P15" i="5"/>
  <c r="T58" i="5"/>
  <c r="Q58" i="5"/>
  <c r="R58" i="5" s="1"/>
  <c r="P44" i="5"/>
  <c r="R44" i="5" s="1"/>
  <c r="L44" i="5"/>
  <c r="M44" i="5" s="1"/>
  <c r="H44" i="5"/>
  <c r="P40" i="5"/>
  <c r="R40" i="5" s="1"/>
  <c r="L40" i="5"/>
  <c r="M40" i="5" s="1"/>
  <c r="H40" i="5"/>
  <c r="L42" i="5"/>
  <c r="M42" i="5" s="1"/>
  <c r="H42" i="5"/>
  <c r="L30" i="4"/>
  <c r="M30" i="4" s="1"/>
  <c r="P30" i="4"/>
  <c r="T14" i="5"/>
  <c r="Q14" i="5"/>
  <c r="T33" i="5"/>
  <c r="Q33" i="5"/>
  <c r="R33" i="5" s="1"/>
  <c r="P60" i="5"/>
  <c r="R60" i="5" s="1"/>
  <c r="L60" i="5"/>
  <c r="M60" i="5" s="1"/>
  <c r="H60" i="5"/>
  <c r="T23" i="4"/>
  <c r="Q23" i="4"/>
  <c r="L43" i="5"/>
  <c r="M43" i="5" s="1"/>
  <c r="P43" i="5"/>
  <c r="R43" i="5" s="1"/>
  <c r="H43" i="5"/>
  <c r="H42" i="4"/>
  <c r="L42" i="4"/>
  <c r="M42" i="4" s="1"/>
  <c r="L48" i="4"/>
  <c r="M48" i="4" s="1"/>
  <c r="P5" i="5"/>
  <c r="R5" i="5" s="1"/>
  <c r="H5" i="5"/>
  <c r="I5" i="5" s="1"/>
  <c r="P51" i="4"/>
  <c r="R51" i="4" s="1"/>
  <c r="E67" i="6" s="1"/>
  <c r="L51" i="4"/>
  <c r="H51" i="4"/>
  <c r="P47" i="4"/>
  <c r="R47" i="4" s="1"/>
  <c r="L47" i="4"/>
  <c r="M47" i="4" s="1"/>
  <c r="L17" i="5"/>
  <c r="M17" i="5" s="1"/>
  <c r="P17" i="5"/>
  <c r="H32" i="5"/>
  <c r="L32" i="5"/>
  <c r="M32" i="5" s="1"/>
  <c r="H59" i="3"/>
  <c r="N5" i="4"/>
  <c r="L37" i="4"/>
  <c r="M37" i="4" s="1"/>
  <c r="P37" i="4"/>
  <c r="H37" i="4"/>
  <c r="Q51" i="4"/>
  <c r="T51" i="4"/>
  <c r="E73" i="6" s="1"/>
  <c r="L4" i="5"/>
  <c r="M4" i="5" s="1"/>
  <c r="H4" i="5"/>
  <c r="P4" i="5"/>
  <c r="R4" i="5" s="1"/>
  <c r="L56" i="3"/>
  <c r="M56" i="3" s="1"/>
  <c r="L63" i="3"/>
  <c r="H48" i="4"/>
  <c r="L5" i="5"/>
  <c r="M5" i="5" s="1"/>
  <c r="P10" i="5"/>
  <c r="R10" i="5" s="1"/>
  <c r="L10" i="5"/>
  <c r="M10" i="5" s="1"/>
  <c r="Q19" i="5"/>
  <c r="T19" i="5"/>
  <c r="T51" i="5"/>
  <c r="E74" i="6" s="1"/>
  <c r="Q51" i="5"/>
  <c r="P53" i="5"/>
  <c r="R53" i="5" s="1"/>
  <c r="L53" i="5"/>
  <c r="M53" i="5" s="1"/>
  <c r="H53" i="5"/>
  <c r="H55" i="5"/>
  <c r="P55" i="5"/>
  <c r="R55" i="5" s="1"/>
  <c r="L55" i="5"/>
  <c r="M55" i="5" s="1"/>
  <c r="T49" i="5"/>
  <c r="Q49" i="5"/>
  <c r="H61" i="4"/>
  <c r="Q12" i="5"/>
  <c r="T12" i="5"/>
  <c r="T15" i="5"/>
  <c r="B74" i="6" s="1"/>
  <c r="Q15" i="5"/>
  <c r="Q30" i="5"/>
  <c r="T30" i="5"/>
  <c r="R51" i="5"/>
  <c r="E68" i="6" s="1"/>
  <c r="R23" i="5"/>
  <c r="T41" i="5"/>
  <c r="Q41" i="5"/>
  <c r="R41" i="5" s="1"/>
  <c r="L63" i="4"/>
  <c r="P63" i="4"/>
  <c r="R63" i="4" s="1"/>
  <c r="F67" i="6" s="1"/>
  <c r="T17" i="5"/>
  <c r="Q17" i="5"/>
  <c r="P22" i="5"/>
  <c r="L22" i="5"/>
  <c r="M22" i="5" s="1"/>
  <c r="T35" i="5"/>
  <c r="Q35" i="5"/>
  <c r="R35" i="5" s="1"/>
  <c r="Q39" i="5"/>
  <c r="T39" i="5"/>
  <c r="D74" i="6" s="1"/>
  <c r="T50" i="5"/>
  <c r="Q50" i="5"/>
  <c r="R50" i="5" s="1"/>
  <c r="L41" i="4"/>
  <c r="M41" i="4" s="1"/>
  <c r="H44" i="4"/>
  <c r="R53" i="4"/>
  <c r="T25" i="5"/>
  <c r="Q25" i="5"/>
  <c r="R25" i="5" s="1"/>
  <c r="P48" i="5"/>
  <c r="R48" i="5" s="1"/>
  <c r="L48" i="5"/>
  <c r="M48" i="5" s="1"/>
  <c r="H48" i="5"/>
  <c r="P19" i="5"/>
  <c r="R19" i="5" s="1"/>
  <c r="L19" i="5"/>
  <c r="M19" i="5" s="1"/>
  <c r="P63" i="5"/>
  <c r="R63" i="5" s="1"/>
  <c r="F68" i="6" s="1"/>
  <c r="L63" i="5"/>
  <c r="H63" i="5"/>
  <c r="H26" i="4"/>
  <c r="H33" i="4"/>
  <c r="T45" i="4"/>
  <c r="Q45" i="4"/>
  <c r="R45" i="4" s="1"/>
  <c r="P46" i="5"/>
  <c r="R46" i="5" s="1"/>
  <c r="L46" i="5"/>
  <c r="M46" i="5" s="1"/>
  <c r="H46" i="5"/>
  <c r="T48" i="5"/>
  <c r="Q48" i="5"/>
  <c r="H23" i="5"/>
  <c r="L23" i="5"/>
  <c r="M23" i="5" s="1"/>
  <c r="L33" i="5"/>
  <c r="M33" i="5" s="1"/>
  <c r="H33" i="5"/>
  <c r="T42" i="5"/>
  <c r="Q42" i="5"/>
  <c r="R42" i="5" s="1"/>
  <c r="T54" i="5"/>
  <c r="Q54" i="5"/>
  <c r="R56" i="5"/>
  <c r="R14" i="5"/>
  <c r="L58" i="5"/>
  <c r="M58" i="5" s="1"/>
  <c r="L27" i="5"/>
  <c r="H27" i="5"/>
  <c r="T32" i="5"/>
  <c r="Q32" i="5"/>
  <c r="R32" i="5" s="1"/>
  <c r="T38" i="5"/>
  <c r="Q38" i="5"/>
  <c r="Q55" i="5"/>
  <c r="T55" i="5"/>
  <c r="T58" i="4"/>
  <c r="Q58" i="4"/>
  <c r="R58" i="4" s="1"/>
  <c r="T57" i="5"/>
  <c r="Q57" i="5"/>
  <c r="R57" i="5" s="1"/>
  <c r="P62" i="5"/>
  <c r="R62" i="5" s="1"/>
  <c r="L62" i="5"/>
  <c r="M62" i="5" s="1"/>
  <c r="H62" i="5"/>
  <c r="L6" i="5"/>
  <c r="M6" i="5" s="1"/>
  <c r="H6" i="5"/>
  <c r="P26" i="5"/>
  <c r="R26" i="5" s="1"/>
  <c r="L26" i="5"/>
  <c r="M26" i="5" s="1"/>
  <c r="T34" i="5"/>
  <c r="Q34" i="5"/>
  <c r="R34" i="5" s="1"/>
  <c r="P47" i="5"/>
  <c r="R47" i="5" s="1"/>
  <c r="L47" i="5"/>
  <c r="M47" i="5" s="1"/>
  <c r="H47" i="5"/>
  <c r="K4" i="5"/>
  <c r="R7" i="5"/>
  <c r="P31" i="5"/>
  <c r="R31" i="5" s="1"/>
  <c r="H31" i="5"/>
  <c r="T45" i="5"/>
  <c r="Q45" i="5"/>
  <c r="R45" i="5" s="1"/>
  <c r="H57" i="5"/>
  <c r="H54" i="4"/>
  <c r="Q62" i="4"/>
  <c r="R62" i="4" s="1"/>
  <c r="Q9" i="5"/>
  <c r="R9" i="5" s="1"/>
  <c r="R16" i="5"/>
  <c r="P27" i="5"/>
  <c r="R27" i="5" s="1"/>
  <c r="C68" i="6" s="1"/>
  <c r="P37" i="5"/>
  <c r="R37" i="5" s="1"/>
  <c r="L37" i="5"/>
  <c r="M37" i="5" s="1"/>
  <c r="H39" i="5"/>
  <c r="L49" i="5"/>
  <c r="M49" i="5" s="1"/>
  <c r="H49" i="5"/>
  <c r="L39" i="5"/>
  <c r="L56" i="5"/>
  <c r="M56" i="5" s="1"/>
  <c r="M51" i="5"/>
  <c r="E62" i="6" s="1"/>
  <c r="E56" i="6"/>
  <c r="P39" i="5"/>
  <c r="L52" i="5"/>
  <c r="M52" i="5" s="1"/>
  <c r="H29" i="5"/>
  <c r="P49" i="5"/>
  <c r="R49" i="5" s="1"/>
  <c r="P59" i="5"/>
  <c r="R59" i="5" s="1"/>
  <c r="P30" i="5"/>
  <c r="R30" i="5" s="1"/>
  <c r="H30" i="5"/>
  <c r="P38" i="5"/>
  <c r="R38" i="5" s="1"/>
  <c r="L50" i="5"/>
  <c r="M50" i="5" s="1"/>
  <c r="P54" i="5"/>
  <c r="R54" i="5" s="1"/>
  <c r="H58" i="5"/>
  <c r="X5" i="3" l="1"/>
  <c r="O5" i="3"/>
  <c r="S5" i="3" s="1"/>
  <c r="U5" i="3" s="1"/>
  <c r="V5" i="3" s="1"/>
  <c r="R42" i="3"/>
  <c r="R27" i="4"/>
  <c r="C67" i="6" s="1"/>
  <c r="R53" i="2"/>
  <c r="R20" i="5"/>
  <c r="R30" i="3"/>
  <c r="R19" i="4"/>
  <c r="R30" i="2"/>
  <c r="R6" i="3"/>
  <c r="R16" i="3"/>
  <c r="R10" i="4"/>
  <c r="R14" i="3"/>
  <c r="R52" i="4"/>
  <c r="R20" i="2"/>
  <c r="R43" i="2"/>
  <c r="Z5" i="3"/>
  <c r="O4" i="5"/>
  <c r="X4" i="5"/>
  <c r="C55" i="6"/>
  <c r="M27" i="4"/>
  <c r="C61" i="6" s="1"/>
  <c r="R23" i="3"/>
  <c r="R12" i="5"/>
  <c r="D53" i="6"/>
  <c r="M39" i="2"/>
  <c r="D59" i="6" s="1"/>
  <c r="R11" i="2"/>
  <c r="W4" i="2"/>
  <c r="Y4" i="2" s="1"/>
  <c r="N5" i="2"/>
  <c r="O4" i="2"/>
  <c r="N5" i="5"/>
  <c r="R17" i="5"/>
  <c r="F53" i="6"/>
  <c r="M63" i="2"/>
  <c r="F59" i="6" s="1"/>
  <c r="J5" i="2"/>
  <c r="K5" i="2"/>
  <c r="I6" i="2"/>
  <c r="R48" i="2"/>
  <c r="W4" i="5"/>
  <c r="Y4" i="5" s="1"/>
  <c r="R22" i="5"/>
  <c r="F54" i="6"/>
  <c r="M63" i="3"/>
  <c r="F60" i="6" s="1"/>
  <c r="E54" i="6"/>
  <c r="M51" i="3"/>
  <c r="E60" i="6" s="1"/>
  <c r="R28" i="3"/>
  <c r="B55" i="6"/>
  <c r="M15" i="4"/>
  <c r="B61" i="6" s="1"/>
  <c r="R39" i="5"/>
  <c r="D68" i="6" s="1"/>
  <c r="Z4" i="3"/>
  <c r="S4" i="3"/>
  <c r="Y4" i="3"/>
  <c r="R34" i="4"/>
  <c r="M27" i="5"/>
  <c r="C62" i="6" s="1"/>
  <c r="C56" i="6"/>
  <c r="I7" i="3"/>
  <c r="K6" i="3"/>
  <c r="J6" i="3"/>
  <c r="R15" i="5"/>
  <c r="B68" i="6" s="1"/>
  <c r="W5" i="3"/>
  <c r="N6" i="3"/>
  <c r="I6" i="5"/>
  <c r="K5" i="5"/>
  <c r="O5" i="5" s="1"/>
  <c r="J5" i="5"/>
  <c r="F55" i="6"/>
  <c r="M63" i="4"/>
  <c r="F61" i="6" s="1"/>
  <c r="E55" i="6"/>
  <c r="M51" i="4"/>
  <c r="E61" i="6" s="1"/>
  <c r="C53" i="6"/>
  <c r="M27" i="2"/>
  <c r="C59" i="6" s="1"/>
  <c r="D54" i="6"/>
  <c r="M39" i="3"/>
  <c r="D60" i="6" s="1"/>
  <c r="R45" i="2"/>
  <c r="R37" i="4"/>
  <c r="B56" i="6"/>
  <c r="M15" i="5"/>
  <c r="B62" i="6" s="1"/>
  <c r="X4" i="4"/>
  <c r="M39" i="5"/>
  <c r="D62" i="6" s="1"/>
  <c r="D56" i="6"/>
  <c r="F56" i="6"/>
  <c r="M63" i="5"/>
  <c r="F62" i="6" s="1"/>
  <c r="R30" i="4"/>
  <c r="X4" i="2"/>
  <c r="O4" i="4"/>
  <c r="W4" i="4"/>
  <c r="R23" i="4"/>
  <c r="J5" i="4"/>
  <c r="I6" i="4"/>
  <c r="K5" i="4"/>
  <c r="O5" i="4" s="1"/>
  <c r="X6" i="3" l="1"/>
  <c r="Y5" i="3"/>
  <c r="X5" i="2"/>
  <c r="O6" i="3"/>
  <c r="Z6" i="3" s="1"/>
  <c r="X5" i="4"/>
  <c r="N6" i="5"/>
  <c r="W5" i="5"/>
  <c r="Z4" i="2"/>
  <c r="S4" i="2"/>
  <c r="W6" i="3"/>
  <c r="Y6" i="3" s="1"/>
  <c r="N7" i="3"/>
  <c r="W5" i="2"/>
  <c r="Y5" i="2" s="1"/>
  <c r="N6" i="2"/>
  <c r="Y4" i="4"/>
  <c r="K6" i="5"/>
  <c r="O6" i="5" s="1"/>
  <c r="J6" i="5"/>
  <c r="I7" i="5"/>
  <c r="J6" i="4"/>
  <c r="I7" i="4"/>
  <c r="K6" i="4"/>
  <c r="N6" i="4"/>
  <c r="S4" i="4"/>
  <c r="Z4" i="4"/>
  <c r="K6" i="2"/>
  <c r="I7" i="2"/>
  <c r="J6" i="2"/>
  <c r="O5" i="2"/>
  <c r="X5" i="5"/>
  <c r="Z5" i="4"/>
  <c r="S5" i="4"/>
  <c r="U5" i="4" s="1"/>
  <c r="V5" i="4" s="1"/>
  <c r="X6" i="2"/>
  <c r="U4" i="3"/>
  <c r="Z4" i="5"/>
  <c r="S4" i="5"/>
  <c r="S5" i="5"/>
  <c r="U5" i="5" s="1"/>
  <c r="V5" i="5" s="1"/>
  <c r="Z5" i="5"/>
  <c r="S6" i="3"/>
  <c r="U6" i="3" s="1"/>
  <c r="V6" i="3" s="1"/>
  <c r="I8" i="3"/>
  <c r="K7" i="3"/>
  <c r="J7" i="3"/>
  <c r="W5" i="4"/>
  <c r="Y5" i="4" s="1"/>
  <c r="X7" i="3" l="1"/>
  <c r="X6" i="4"/>
  <c r="O7" i="3"/>
  <c r="Z6" i="5"/>
  <c r="S6" i="5"/>
  <c r="U6" i="5" s="1"/>
  <c r="V6" i="5" s="1"/>
  <c r="W6" i="2"/>
  <c r="Y6" i="2" s="1"/>
  <c r="N7" i="2"/>
  <c r="U4" i="2"/>
  <c r="I8" i="5"/>
  <c r="J7" i="5"/>
  <c r="K7" i="5"/>
  <c r="Z7" i="3"/>
  <c r="S7" i="3"/>
  <c r="J8" i="3"/>
  <c r="I9" i="3"/>
  <c r="K8" i="3"/>
  <c r="N8" i="3"/>
  <c r="W7" i="3"/>
  <c r="X6" i="5"/>
  <c r="O6" i="2"/>
  <c r="W6" i="4"/>
  <c r="Y6" i="4" s="1"/>
  <c r="N7" i="4"/>
  <c r="Y5" i="5"/>
  <c r="Z5" i="2"/>
  <c r="S5" i="2"/>
  <c r="U5" i="2" s="1"/>
  <c r="V5" i="2" s="1"/>
  <c r="O6" i="4"/>
  <c r="W6" i="5"/>
  <c r="Y6" i="5" s="1"/>
  <c r="N7" i="5"/>
  <c r="K7" i="2"/>
  <c r="I8" i="2"/>
  <c r="J7" i="2"/>
  <c r="X7" i="2" s="1"/>
  <c r="U4" i="4"/>
  <c r="U4" i="5"/>
  <c r="V4" i="3"/>
  <c r="I8" i="4"/>
  <c r="K7" i="4"/>
  <c r="J7" i="4"/>
  <c r="X7" i="4" s="1"/>
  <c r="Y7" i="3" l="1"/>
  <c r="O8" i="3"/>
  <c r="O7" i="4"/>
  <c r="W7" i="4"/>
  <c r="Y7" i="4" s="1"/>
  <c r="N8" i="4"/>
  <c r="N8" i="5"/>
  <c r="W7" i="5"/>
  <c r="O7" i="5"/>
  <c r="S6" i="2"/>
  <c r="U6" i="2" s="1"/>
  <c r="V6" i="2" s="1"/>
  <c r="Z6" i="2"/>
  <c r="K8" i="5"/>
  <c r="O8" i="5" s="1"/>
  <c r="J8" i="5"/>
  <c r="I9" i="5"/>
  <c r="W7" i="2"/>
  <c r="Y7" i="2" s="1"/>
  <c r="N8" i="2"/>
  <c r="W8" i="3"/>
  <c r="N9" i="3"/>
  <c r="S6" i="4"/>
  <c r="Z6" i="4"/>
  <c r="V4" i="5"/>
  <c r="X7" i="5"/>
  <c r="Z8" i="3"/>
  <c r="S8" i="3"/>
  <c r="U8" i="3" s="1"/>
  <c r="V8" i="3" s="1"/>
  <c r="X8" i="3"/>
  <c r="X9" i="3" s="1"/>
  <c r="K8" i="4"/>
  <c r="O8" i="4" s="1"/>
  <c r="J8" i="4"/>
  <c r="I9" i="4"/>
  <c r="U7" i="3"/>
  <c r="V4" i="4"/>
  <c r="O7" i="2"/>
  <c r="Z7" i="4"/>
  <c r="S7" i="4"/>
  <c r="U7" i="4" s="1"/>
  <c r="V7" i="4" s="1"/>
  <c r="V4" i="2"/>
  <c r="K8" i="2"/>
  <c r="I9" i="2"/>
  <c r="J8" i="2"/>
  <c r="K9" i="3"/>
  <c r="J9" i="3"/>
  <c r="I10" i="3"/>
  <c r="X8" i="2" l="1"/>
  <c r="X8" i="4"/>
  <c r="O9" i="3"/>
  <c r="O8" i="2"/>
  <c r="Y7" i="5"/>
  <c r="X8" i="5"/>
  <c r="S7" i="2"/>
  <c r="Z7" i="2"/>
  <c r="N9" i="5"/>
  <c r="W8" i="5"/>
  <c r="Y8" i="5" s="1"/>
  <c r="Z8" i="2"/>
  <c r="S8" i="2"/>
  <c r="U8" i="2" s="1"/>
  <c r="V8" i="2" s="1"/>
  <c r="U6" i="4"/>
  <c r="K10" i="3"/>
  <c r="I11" i="3"/>
  <c r="J10" i="3"/>
  <c r="N10" i="3"/>
  <c r="W9" i="3"/>
  <c r="Y9" i="3" s="1"/>
  <c r="W8" i="4"/>
  <c r="Y8" i="4" s="1"/>
  <c r="N9" i="4"/>
  <c r="J9" i="2"/>
  <c r="K9" i="2"/>
  <c r="O9" i="2" s="1"/>
  <c r="I10" i="2"/>
  <c r="I10" i="5"/>
  <c r="J9" i="5"/>
  <c r="K9" i="5"/>
  <c r="Z7" i="5"/>
  <c r="S7" i="5"/>
  <c r="Y8" i="3"/>
  <c r="Z8" i="4"/>
  <c r="S8" i="4"/>
  <c r="U8" i="4" s="1"/>
  <c r="V8" i="4" s="1"/>
  <c r="S9" i="3"/>
  <c r="U9" i="3" s="1"/>
  <c r="V9" i="3" s="1"/>
  <c r="Z9" i="3"/>
  <c r="V7" i="3"/>
  <c r="N9" i="2"/>
  <c r="W8" i="2"/>
  <c r="Z8" i="5"/>
  <c r="S8" i="5"/>
  <c r="U8" i="5" s="1"/>
  <c r="V8" i="5" s="1"/>
  <c r="I10" i="4"/>
  <c r="K9" i="4"/>
  <c r="J9" i="4"/>
  <c r="X9" i="4" s="1"/>
  <c r="Y8" i="2" l="1"/>
  <c r="X10" i="3"/>
  <c r="X9" i="5"/>
  <c r="X9" i="2"/>
  <c r="W9" i="4"/>
  <c r="Y9" i="4" s="1"/>
  <c r="N10" i="4"/>
  <c r="I12" i="3"/>
  <c r="J11" i="3"/>
  <c r="K11" i="3"/>
  <c r="U7" i="2"/>
  <c r="I11" i="5"/>
  <c r="K10" i="5"/>
  <c r="J10" i="5"/>
  <c r="X10" i="5" s="1"/>
  <c r="K10" i="4"/>
  <c r="J10" i="4"/>
  <c r="I11" i="4"/>
  <c r="W9" i="5"/>
  <c r="Y9" i="5" s="1"/>
  <c r="N10" i="5"/>
  <c r="U7" i="5"/>
  <c r="Z9" i="2"/>
  <c r="S9" i="2"/>
  <c r="U9" i="2" s="1"/>
  <c r="V9" i="2" s="1"/>
  <c r="O9" i="4"/>
  <c r="O9" i="5"/>
  <c r="V6" i="4"/>
  <c r="K10" i="2"/>
  <c r="J10" i="2"/>
  <c r="I11" i="2"/>
  <c r="W10" i="3"/>
  <c r="Y10" i="3" s="1"/>
  <c r="N11" i="3"/>
  <c r="O10" i="3"/>
  <c r="W9" i="2"/>
  <c r="Y9" i="2" s="1"/>
  <c r="N10" i="2"/>
  <c r="X10" i="2" l="1"/>
  <c r="X10" i="4"/>
  <c r="O11" i="3"/>
  <c r="X11" i="3"/>
  <c r="N12" i="3"/>
  <c r="W11" i="3"/>
  <c r="Y11" i="3" s="1"/>
  <c r="V7" i="5"/>
  <c r="N11" i="5"/>
  <c r="W10" i="5"/>
  <c r="Y10" i="5" s="1"/>
  <c r="Z10" i="3"/>
  <c r="S10" i="3"/>
  <c r="Z11" i="3"/>
  <c r="S11" i="3"/>
  <c r="U11" i="3" s="1"/>
  <c r="V11" i="3" s="1"/>
  <c r="J12" i="3"/>
  <c r="I13" i="3"/>
  <c r="K12" i="3"/>
  <c r="O12" i="3" s="1"/>
  <c r="Z9" i="4"/>
  <c r="S9" i="4"/>
  <c r="W10" i="2"/>
  <c r="N11" i="2"/>
  <c r="I12" i="2"/>
  <c r="K11" i="2"/>
  <c r="O11" i="2" s="1"/>
  <c r="J11" i="2"/>
  <c r="O10" i="4"/>
  <c r="V7" i="2"/>
  <c r="I12" i="4"/>
  <c r="K11" i="4"/>
  <c r="J11" i="4"/>
  <c r="K11" i="5"/>
  <c r="J11" i="5"/>
  <c r="X11" i="5" s="1"/>
  <c r="I12" i="5"/>
  <c r="O10" i="2"/>
  <c r="N11" i="4"/>
  <c r="W10" i="4"/>
  <c r="Y10" i="4" s="1"/>
  <c r="S9" i="5"/>
  <c r="Z9" i="5"/>
  <c r="O10" i="5"/>
  <c r="X11" i="2" l="1"/>
  <c r="Y10" i="2"/>
  <c r="X11" i="4"/>
  <c r="X12" i="3"/>
  <c r="U9" i="5"/>
  <c r="Z10" i="4"/>
  <c r="S10" i="4"/>
  <c r="U10" i="4" s="1"/>
  <c r="V10" i="4" s="1"/>
  <c r="I13" i="2"/>
  <c r="K12" i="2"/>
  <c r="J12" i="2"/>
  <c r="N12" i="4"/>
  <c r="W11" i="4"/>
  <c r="Y11" i="4" s="1"/>
  <c r="N12" i="2"/>
  <c r="W11" i="2"/>
  <c r="I13" i="5"/>
  <c r="K12" i="5"/>
  <c r="J12" i="5"/>
  <c r="J12" i="4"/>
  <c r="K12" i="4"/>
  <c r="I13" i="4"/>
  <c r="W11" i="5"/>
  <c r="Y11" i="5" s="1"/>
  <c r="N12" i="5"/>
  <c r="U9" i="4"/>
  <c r="W12" i="3"/>
  <c r="Y12" i="3" s="1"/>
  <c r="N13" i="3"/>
  <c r="S11" i="2"/>
  <c r="U11" i="2" s="1"/>
  <c r="V11" i="2" s="1"/>
  <c r="Z11" i="2"/>
  <c r="O11" i="5"/>
  <c r="Z12" i="3"/>
  <c r="S12" i="3"/>
  <c r="U12" i="3" s="1"/>
  <c r="V12" i="3" s="1"/>
  <c r="S10" i="5"/>
  <c r="U10" i="5" s="1"/>
  <c r="V10" i="5" s="1"/>
  <c r="Z10" i="5"/>
  <c r="U10" i="3"/>
  <c r="S10" i="2"/>
  <c r="Z10" i="2"/>
  <c r="O11" i="4"/>
  <c r="K13" i="3"/>
  <c r="I14" i="3"/>
  <c r="J13" i="3"/>
  <c r="X13" i="3" s="1"/>
  <c r="Y11" i="2" l="1"/>
  <c r="X12" i="5"/>
  <c r="O12" i="4"/>
  <c r="X12" i="2"/>
  <c r="X12" i="4"/>
  <c r="O12" i="2"/>
  <c r="Z12" i="2" s="1"/>
  <c r="O13" i="3"/>
  <c r="Z12" i="4"/>
  <c r="S12" i="4"/>
  <c r="U12" i="4" s="1"/>
  <c r="V12" i="4" s="1"/>
  <c r="K13" i="5"/>
  <c r="J13" i="5"/>
  <c r="X13" i="5" s="1"/>
  <c r="I14" i="5"/>
  <c r="V10" i="3"/>
  <c r="N13" i="2"/>
  <c r="W12" i="2"/>
  <c r="Y12" i="2" s="1"/>
  <c r="N13" i="5"/>
  <c r="W12" i="5"/>
  <c r="Y12" i="5" s="1"/>
  <c r="V9" i="5"/>
  <c r="J13" i="4"/>
  <c r="I14" i="4"/>
  <c r="K13" i="4"/>
  <c r="Z11" i="5"/>
  <c r="S11" i="5"/>
  <c r="U11" i="5" s="1"/>
  <c r="V11" i="5" s="1"/>
  <c r="S13" i="3"/>
  <c r="U13" i="3" s="1"/>
  <c r="V13" i="3" s="1"/>
  <c r="Z13" i="3"/>
  <c r="O12" i="5"/>
  <c r="W13" i="3"/>
  <c r="Y13" i="3" s="1"/>
  <c r="N14" i="3"/>
  <c r="I15" i="3"/>
  <c r="K14" i="3"/>
  <c r="O14" i="3" s="1"/>
  <c r="J14" i="3"/>
  <c r="W12" i="4"/>
  <c r="Y12" i="4" s="1"/>
  <c r="N13" i="4"/>
  <c r="S11" i="4"/>
  <c r="U11" i="4" s="1"/>
  <c r="V11" i="4" s="1"/>
  <c r="Z11" i="4"/>
  <c r="V9" i="4"/>
  <c r="J13" i="2"/>
  <c r="I14" i="2"/>
  <c r="K13" i="2"/>
  <c r="U10" i="2"/>
  <c r="X14" i="3" l="1"/>
  <c r="S12" i="2"/>
  <c r="U12" i="2" s="1"/>
  <c r="V12" i="2" s="1"/>
  <c r="O13" i="4"/>
  <c r="O13" i="2"/>
  <c r="X13" i="2"/>
  <c r="X13" i="4"/>
  <c r="Z13" i="2"/>
  <c r="S13" i="2"/>
  <c r="U13" i="2" s="1"/>
  <c r="V13" i="2" s="1"/>
  <c r="W13" i="5"/>
  <c r="Y13" i="5" s="1"/>
  <c r="N14" i="5"/>
  <c r="K14" i="2"/>
  <c r="J14" i="2"/>
  <c r="X14" i="2" s="1"/>
  <c r="I15" i="2"/>
  <c r="I15" i="5"/>
  <c r="K14" i="5"/>
  <c r="O14" i="5" s="1"/>
  <c r="J14" i="5"/>
  <c r="W13" i="2"/>
  <c r="N14" i="2"/>
  <c r="N14" i="4"/>
  <c r="W13" i="4"/>
  <c r="S14" i="3"/>
  <c r="U14" i="3" s="1"/>
  <c r="V14" i="3" s="1"/>
  <c r="Z14" i="3"/>
  <c r="S12" i="5"/>
  <c r="Z12" i="5"/>
  <c r="V10" i="2"/>
  <c r="I16" i="3"/>
  <c r="K15" i="3"/>
  <c r="J15" i="3"/>
  <c r="B24" i="6" s="1"/>
  <c r="S13" i="4"/>
  <c r="U13" i="4" s="1"/>
  <c r="Z13" i="4"/>
  <c r="I15" i="4"/>
  <c r="K14" i="4"/>
  <c r="O14" i="4" s="1"/>
  <c r="J14" i="4"/>
  <c r="N15" i="3"/>
  <c r="W14" i="3"/>
  <c r="Y14" i="3" s="1"/>
  <c r="O13" i="5"/>
  <c r="X14" i="5" l="1"/>
  <c r="X14" i="4"/>
  <c r="Y13" i="2"/>
  <c r="O14" i="2"/>
  <c r="Y13" i="4"/>
  <c r="B30" i="6"/>
  <c r="O15" i="3"/>
  <c r="S14" i="5"/>
  <c r="U14" i="5" s="1"/>
  <c r="V14" i="5" s="1"/>
  <c r="Z14" i="5"/>
  <c r="I16" i="2"/>
  <c r="K15" i="2"/>
  <c r="J15" i="2"/>
  <c r="B23" i="6" s="1"/>
  <c r="Z14" i="2"/>
  <c r="S14" i="2"/>
  <c r="U14" i="2" s="1"/>
  <c r="I17" i="3"/>
  <c r="K16" i="3"/>
  <c r="J16" i="3"/>
  <c r="N16" i="3"/>
  <c r="W15" i="3"/>
  <c r="W14" i="5"/>
  <c r="Y14" i="5" s="1"/>
  <c r="N15" i="5"/>
  <c r="U12" i="5"/>
  <c r="W14" i="4"/>
  <c r="Y14" i="4" s="1"/>
  <c r="N15" i="4"/>
  <c r="X15" i="3"/>
  <c r="Z13" i="5"/>
  <c r="S13" i="5"/>
  <c r="U13" i="5" s="1"/>
  <c r="V13" i="5" s="1"/>
  <c r="K15" i="5"/>
  <c r="J15" i="5"/>
  <c r="B26" i="6" s="1"/>
  <c r="I16" i="5"/>
  <c r="S14" i="4"/>
  <c r="U14" i="4" s="1"/>
  <c r="V14" i="4" s="1"/>
  <c r="Z14" i="4"/>
  <c r="K15" i="4"/>
  <c r="J15" i="4"/>
  <c r="B25" i="6" s="1"/>
  <c r="I16" i="4"/>
  <c r="V13" i="4"/>
  <c r="W14" i="2"/>
  <c r="Y14" i="2" s="1"/>
  <c r="N15" i="2"/>
  <c r="W16" i="3" l="1"/>
  <c r="N17" i="3"/>
  <c r="I17" i="5"/>
  <c r="K16" i="5"/>
  <c r="J16" i="5"/>
  <c r="X16" i="3"/>
  <c r="B29" i="6"/>
  <c r="O15" i="2"/>
  <c r="N16" i="2"/>
  <c r="W15" i="2"/>
  <c r="K16" i="2"/>
  <c r="O16" i="2" s="1"/>
  <c r="J16" i="2"/>
  <c r="I17" i="2"/>
  <c r="B48" i="6"/>
  <c r="Z15" i="3"/>
  <c r="S15" i="3"/>
  <c r="U15" i="3" s="1"/>
  <c r="V15" i="3" s="1"/>
  <c r="O16" i="3"/>
  <c r="V12" i="5"/>
  <c r="K17" i="3"/>
  <c r="O17" i="3" s="1"/>
  <c r="J17" i="3"/>
  <c r="I18" i="3"/>
  <c r="B31" i="6"/>
  <c r="O15" i="4"/>
  <c r="N16" i="5"/>
  <c r="W15" i="5"/>
  <c r="X15" i="5"/>
  <c r="X15" i="2"/>
  <c r="B32" i="6"/>
  <c r="O15" i="5"/>
  <c r="V14" i="2"/>
  <c r="W15" i="4"/>
  <c r="N16" i="4"/>
  <c r="I17" i="4"/>
  <c r="J16" i="4"/>
  <c r="K16" i="4"/>
  <c r="B42" i="6"/>
  <c r="Y15" i="3"/>
  <c r="B36" i="6" s="1"/>
  <c r="X15" i="4"/>
  <c r="X16" i="4" s="1"/>
  <c r="X16" i="5" l="1"/>
  <c r="X16" i="2"/>
  <c r="O16" i="4"/>
  <c r="Z16" i="4" s="1"/>
  <c r="N17" i="5"/>
  <c r="W16" i="5"/>
  <c r="Y16" i="5" s="1"/>
  <c r="Z17" i="3"/>
  <c r="S17" i="3"/>
  <c r="U17" i="3" s="1"/>
  <c r="V17" i="3" s="1"/>
  <c r="X17" i="3"/>
  <c r="Y15" i="5"/>
  <c r="B38" i="6" s="1"/>
  <c r="B44" i="6"/>
  <c r="W16" i="4"/>
  <c r="Y16" i="4" s="1"/>
  <c r="N17" i="4"/>
  <c r="B73" i="7"/>
  <c r="Z16" i="2"/>
  <c r="S16" i="2"/>
  <c r="B41" i="6"/>
  <c r="Y15" i="2"/>
  <c r="B35" i="6" s="1"/>
  <c r="B47" i="6"/>
  <c r="S15" i="2"/>
  <c r="U15" i="2" s="1"/>
  <c r="Z15" i="2"/>
  <c r="K17" i="4"/>
  <c r="J17" i="4"/>
  <c r="I18" i="4"/>
  <c r="S16" i="3"/>
  <c r="Z16" i="3"/>
  <c r="O16" i="5"/>
  <c r="K17" i="2"/>
  <c r="J17" i="2"/>
  <c r="I18" i="2"/>
  <c r="B49" i="6"/>
  <c r="Z15" i="4"/>
  <c r="S15" i="4"/>
  <c r="U15" i="4" s="1"/>
  <c r="S16" i="4"/>
  <c r="K17" i="5"/>
  <c r="J17" i="5"/>
  <c r="I18" i="5"/>
  <c r="I19" i="3"/>
  <c r="K18" i="3"/>
  <c r="J18" i="3"/>
  <c r="B43" i="6"/>
  <c r="Y15" i="4"/>
  <c r="B37" i="6" s="1"/>
  <c r="B12" i="6"/>
  <c r="B63" i="7"/>
  <c r="B6" i="6"/>
  <c r="W17" i="3"/>
  <c r="Y17" i="3" s="1"/>
  <c r="N18" i="3"/>
  <c r="W16" i="2"/>
  <c r="Y16" i="2" s="1"/>
  <c r="N17" i="2"/>
  <c r="B50" i="6"/>
  <c r="Z15" i="5"/>
  <c r="S15" i="5"/>
  <c r="U15" i="5" s="1"/>
  <c r="V15" i="5" s="1"/>
  <c r="B8" i="6" s="1"/>
  <c r="Y16" i="3"/>
  <c r="X17" i="2" l="1"/>
  <c r="X17" i="5"/>
  <c r="X17" i="4"/>
  <c r="O17" i="2"/>
  <c r="O18" i="3"/>
  <c r="O17" i="5"/>
  <c r="S17" i="5" s="1"/>
  <c r="U17" i="5" s="1"/>
  <c r="V17" i="5" s="1"/>
  <c r="B28" i="7"/>
  <c r="B37" i="7"/>
  <c r="B14" i="6"/>
  <c r="S18" i="3"/>
  <c r="U18" i="3" s="1"/>
  <c r="V18" i="3" s="1"/>
  <c r="Z18" i="3"/>
  <c r="W17" i="4"/>
  <c r="Y17" i="4" s="1"/>
  <c r="N18" i="4"/>
  <c r="W18" i="3"/>
  <c r="N19" i="3"/>
  <c r="O17" i="4"/>
  <c r="U16" i="4"/>
  <c r="X18" i="3"/>
  <c r="S16" i="5"/>
  <c r="Z16" i="5"/>
  <c r="K19" i="3"/>
  <c r="I20" i="3"/>
  <c r="J19" i="3"/>
  <c r="N18" i="2"/>
  <c r="W17" i="2"/>
  <c r="Y17" i="2" s="1"/>
  <c r="V15" i="2"/>
  <c r="B57" i="7"/>
  <c r="V15" i="4"/>
  <c r="B67" i="7"/>
  <c r="K18" i="2"/>
  <c r="J18" i="2"/>
  <c r="I19" i="2"/>
  <c r="U16" i="3"/>
  <c r="K18" i="5"/>
  <c r="J18" i="5"/>
  <c r="I19" i="5"/>
  <c r="N18" i="5"/>
  <c r="W17" i="5"/>
  <c r="Y17" i="5" s="1"/>
  <c r="Z17" i="2"/>
  <c r="S17" i="2"/>
  <c r="U17" i="2" s="1"/>
  <c r="V17" i="2" s="1"/>
  <c r="I19" i="4"/>
  <c r="K18" i="4"/>
  <c r="J18" i="4"/>
  <c r="B10" i="7"/>
  <c r="B14" i="7"/>
  <c r="U16" i="2"/>
  <c r="X18" i="5" l="1"/>
  <c r="Z17" i="5"/>
  <c r="X18" i="4"/>
  <c r="X18" i="2"/>
  <c r="Y18" i="3"/>
  <c r="W18" i="4"/>
  <c r="Y18" i="4" s="1"/>
  <c r="N19" i="4"/>
  <c r="S17" i="4"/>
  <c r="Z17" i="4"/>
  <c r="K19" i="2"/>
  <c r="J19" i="2"/>
  <c r="I20" i="2"/>
  <c r="U16" i="5"/>
  <c r="O18" i="5"/>
  <c r="K20" i="3"/>
  <c r="I21" i="3"/>
  <c r="J20" i="3"/>
  <c r="O19" i="3"/>
  <c r="O18" i="4"/>
  <c r="O18" i="2"/>
  <c r="X19" i="3"/>
  <c r="B5" i="6"/>
  <c r="B11" i="6"/>
  <c r="B58" i="7"/>
  <c r="N19" i="5"/>
  <c r="W18" i="5"/>
  <c r="Y18" i="5" s="1"/>
  <c r="V16" i="4"/>
  <c r="W19" i="3"/>
  <c r="N20" i="3"/>
  <c r="I20" i="5"/>
  <c r="K19" i="5"/>
  <c r="J19" i="5"/>
  <c r="W18" i="2"/>
  <c r="N19" i="2"/>
  <c r="V16" i="3"/>
  <c r="J19" i="4"/>
  <c r="I20" i="4"/>
  <c r="K19" i="4"/>
  <c r="B7" i="6"/>
  <c r="B13" i="6"/>
  <c r="B68" i="7"/>
  <c r="V16" i="2"/>
  <c r="Y18" i="2" l="1"/>
  <c r="X19" i="5"/>
  <c r="X19" i="2"/>
  <c r="O19" i="4"/>
  <c r="X20" i="3"/>
  <c r="O19" i="2"/>
  <c r="Z19" i="2" s="1"/>
  <c r="X19" i="4"/>
  <c r="B32" i="7"/>
  <c r="B5" i="7"/>
  <c r="Z18" i="4"/>
  <c r="S18" i="4"/>
  <c r="U18" i="4" s="1"/>
  <c r="V18" i="4" s="1"/>
  <c r="Z19" i="3"/>
  <c r="S19" i="3"/>
  <c r="V16" i="5"/>
  <c r="I21" i="4"/>
  <c r="K20" i="4"/>
  <c r="O20" i="4" s="1"/>
  <c r="J20" i="4"/>
  <c r="U17" i="4"/>
  <c r="O19" i="5"/>
  <c r="K20" i="5"/>
  <c r="J20" i="5"/>
  <c r="X20" i="5" s="1"/>
  <c r="I21" i="5"/>
  <c r="K21" i="3"/>
  <c r="J21" i="3"/>
  <c r="I22" i="3"/>
  <c r="X21" i="3"/>
  <c r="N20" i="4"/>
  <c r="W19" i="4"/>
  <c r="Y19" i="4" s="1"/>
  <c r="N21" i="3"/>
  <c r="W20" i="3"/>
  <c r="Y20" i="3" s="1"/>
  <c r="O20" i="3"/>
  <c r="I21" i="2"/>
  <c r="K20" i="2"/>
  <c r="J20" i="2"/>
  <c r="W19" i="5"/>
  <c r="Y19" i="5" s="1"/>
  <c r="N20" i="5"/>
  <c r="Z18" i="2"/>
  <c r="S18" i="2"/>
  <c r="Y19" i="3"/>
  <c r="S18" i="5"/>
  <c r="Z18" i="5"/>
  <c r="Z19" i="4"/>
  <c r="S19" i="4"/>
  <c r="U19" i="4" s="1"/>
  <c r="V19" i="4" s="1"/>
  <c r="W19" i="2"/>
  <c r="Y19" i="2" s="1"/>
  <c r="N20" i="2"/>
  <c r="B19" i="7"/>
  <c r="B23" i="7"/>
  <c r="X20" i="4" l="1"/>
  <c r="X20" i="2"/>
  <c r="S19" i="2"/>
  <c r="U19" i="2" s="1"/>
  <c r="V19" i="2" s="1"/>
  <c r="O21" i="3"/>
  <c r="S21" i="3" s="1"/>
  <c r="U21" i="3" s="1"/>
  <c r="V21" i="3" s="1"/>
  <c r="U19" i="3"/>
  <c r="Z21" i="3"/>
  <c r="N21" i="2"/>
  <c r="W20" i="2"/>
  <c r="Y20" i="2" s="1"/>
  <c r="O20" i="5"/>
  <c r="J21" i="2"/>
  <c r="I22" i="2"/>
  <c r="K21" i="2"/>
  <c r="O21" i="2" s="1"/>
  <c r="S20" i="3"/>
  <c r="U20" i="3" s="1"/>
  <c r="V20" i="3" s="1"/>
  <c r="Z20" i="3"/>
  <c r="V17" i="4"/>
  <c r="I23" i="3"/>
  <c r="K22" i="3"/>
  <c r="J22" i="3"/>
  <c r="W20" i="5"/>
  <c r="Y20" i="5" s="1"/>
  <c r="N21" i="5"/>
  <c r="I22" i="5"/>
  <c r="K21" i="5"/>
  <c r="O21" i="5" s="1"/>
  <c r="J21" i="5"/>
  <c r="S19" i="5"/>
  <c r="U19" i="5" s="1"/>
  <c r="V19" i="5" s="1"/>
  <c r="Z19" i="5"/>
  <c r="O20" i="2"/>
  <c r="U18" i="5"/>
  <c r="S20" i="4"/>
  <c r="U20" i="4" s="1"/>
  <c r="V20" i="4" s="1"/>
  <c r="Z20" i="4"/>
  <c r="U18" i="2"/>
  <c r="N22" i="3"/>
  <c r="W21" i="3"/>
  <c r="Y21" i="3" s="1"/>
  <c r="N21" i="4"/>
  <c r="W20" i="4"/>
  <c r="Y20" i="4" s="1"/>
  <c r="K21" i="4"/>
  <c r="J21" i="4"/>
  <c r="X21" i="4" s="1"/>
  <c r="I22" i="4"/>
  <c r="X21" i="5" l="1"/>
  <c r="X22" i="3"/>
  <c r="X21" i="2"/>
  <c r="O21" i="4"/>
  <c r="Z21" i="4" s="1"/>
  <c r="W22" i="3"/>
  <c r="Y22" i="3" s="1"/>
  <c r="N23" i="3"/>
  <c r="V18" i="2"/>
  <c r="N22" i="2"/>
  <c r="W21" i="2"/>
  <c r="I24" i="3"/>
  <c r="K23" i="3"/>
  <c r="O23" i="3" s="1"/>
  <c r="J23" i="3"/>
  <c r="S21" i="5"/>
  <c r="U21" i="5" s="1"/>
  <c r="V21" i="5" s="1"/>
  <c r="Z21" i="5"/>
  <c r="O22" i="3"/>
  <c r="K22" i="4"/>
  <c r="J22" i="4"/>
  <c r="I23" i="4"/>
  <c r="V19" i="3"/>
  <c r="K22" i="2"/>
  <c r="J22" i="2"/>
  <c r="I23" i="2"/>
  <c r="Z20" i="5"/>
  <c r="S20" i="5"/>
  <c r="U20" i="5" s="1"/>
  <c r="V20" i="5" s="1"/>
  <c r="W21" i="5"/>
  <c r="Y21" i="5" s="1"/>
  <c r="N22" i="5"/>
  <c r="V18" i="5"/>
  <c r="Z21" i="2"/>
  <c r="S21" i="2"/>
  <c r="U21" i="2" s="1"/>
  <c r="V21" i="2" s="1"/>
  <c r="N22" i="4"/>
  <c r="W21" i="4"/>
  <c r="Y21" i="4" s="1"/>
  <c r="I23" i="5"/>
  <c r="J22" i="5"/>
  <c r="K22" i="5"/>
  <c r="S20" i="2"/>
  <c r="Z20" i="2"/>
  <c r="S21" i="4" l="1"/>
  <c r="U21" i="4" s="1"/>
  <c r="V21" i="4" s="1"/>
  <c r="X22" i="5"/>
  <c r="X22" i="4"/>
  <c r="X23" i="3"/>
  <c r="Y21" i="2"/>
  <c r="X22" i="2"/>
  <c r="N23" i="4"/>
  <c r="W22" i="4"/>
  <c r="J24" i="3"/>
  <c r="K24" i="3"/>
  <c r="I25" i="3"/>
  <c r="W23" i="3"/>
  <c r="N24" i="3"/>
  <c r="Z23" i="3"/>
  <c r="S23" i="3"/>
  <c r="U23" i="3" s="1"/>
  <c r="V23" i="3" s="1"/>
  <c r="O22" i="4"/>
  <c r="S22" i="3"/>
  <c r="Z22" i="3"/>
  <c r="U20" i="2"/>
  <c r="K23" i="2"/>
  <c r="J23" i="2"/>
  <c r="I24" i="2"/>
  <c r="N23" i="2"/>
  <c r="W22" i="2"/>
  <c r="Y22" i="2" s="1"/>
  <c r="K23" i="5"/>
  <c r="J23" i="5"/>
  <c r="I24" i="5"/>
  <c r="O22" i="2"/>
  <c r="I24" i="4"/>
  <c r="K23" i="4"/>
  <c r="J23" i="4"/>
  <c r="X23" i="4" s="1"/>
  <c r="W22" i="5"/>
  <c r="Y22" i="5" s="1"/>
  <c r="N23" i="5"/>
  <c r="O22" i="5"/>
  <c r="X23" i="5" l="1"/>
  <c r="Y23" i="3"/>
  <c r="Y22" i="4"/>
  <c r="X24" i="3"/>
  <c r="O23" i="5"/>
  <c r="X23" i="2"/>
  <c r="W24" i="3"/>
  <c r="N25" i="3"/>
  <c r="O24" i="3"/>
  <c r="N24" i="4"/>
  <c r="W23" i="4"/>
  <c r="Y23" i="4" s="1"/>
  <c r="Z23" i="5"/>
  <c r="S23" i="5"/>
  <c r="U23" i="5" s="1"/>
  <c r="V23" i="5" s="1"/>
  <c r="W23" i="2"/>
  <c r="Y23" i="2" s="1"/>
  <c r="N24" i="2"/>
  <c r="Z22" i="5"/>
  <c r="S22" i="5"/>
  <c r="U22" i="3"/>
  <c r="O23" i="4"/>
  <c r="V20" i="2"/>
  <c r="Z22" i="4"/>
  <c r="S22" i="4"/>
  <c r="K24" i="2"/>
  <c r="J24" i="2"/>
  <c r="I25" i="2"/>
  <c r="O23" i="2"/>
  <c r="I25" i="4"/>
  <c r="K24" i="4"/>
  <c r="O24" i="4" s="1"/>
  <c r="J24" i="4"/>
  <c r="K24" i="5"/>
  <c r="O24" i="5" s="1"/>
  <c r="I25" i="5"/>
  <c r="J24" i="5"/>
  <c r="X24" i="5" s="1"/>
  <c r="I26" i="3"/>
  <c r="J25" i="3"/>
  <c r="K25" i="3"/>
  <c r="W23" i="5"/>
  <c r="Y23" i="5" s="1"/>
  <c r="N24" i="5"/>
  <c r="S22" i="2"/>
  <c r="Z22" i="2"/>
  <c r="X24" i="2" l="1"/>
  <c r="X24" i="4"/>
  <c r="O25" i="3"/>
  <c r="Y24" i="3"/>
  <c r="X25" i="3"/>
  <c r="Z24" i="4"/>
  <c r="S24" i="4"/>
  <c r="U24" i="4" s="1"/>
  <c r="V24" i="4" s="1"/>
  <c r="O24" i="2"/>
  <c r="W24" i="5"/>
  <c r="Y24" i="5" s="1"/>
  <c r="N25" i="5"/>
  <c r="W25" i="3"/>
  <c r="Y25" i="3" s="1"/>
  <c r="N26" i="3"/>
  <c r="Z24" i="5"/>
  <c r="S24" i="5"/>
  <c r="U24" i="5" s="1"/>
  <c r="V24" i="5" s="1"/>
  <c r="Z24" i="3"/>
  <c r="S24" i="3"/>
  <c r="U22" i="5"/>
  <c r="U22" i="2"/>
  <c r="Z23" i="4"/>
  <c r="S23" i="4"/>
  <c r="U23" i="4" s="1"/>
  <c r="V23" i="4" s="1"/>
  <c r="J25" i="5"/>
  <c r="K25" i="5"/>
  <c r="I26" i="5"/>
  <c r="I26" i="4"/>
  <c r="K25" i="4"/>
  <c r="O25" i="4" s="1"/>
  <c r="J25" i="4"/>
  <c r="J25" i="2"/>
  <c r="I26" i="2"/>
  <c r="K25" i="2"/>
  <c r="U22" i="4"/>
  <c r="K26" i="3"/>
  <c r="J26" i="3"/>
  <c r="I27" i="3"/>
  <c r="V22" i="3"/>
  <c r="N25" i="2"/>
  <c r="W24" i="2"/>
  <c r="Z23" i="2"/>
  <c r="S23" i="2"/>
  <c r="U23" i="2" s="1"/>
  <c r="V23" i="2" s="1"/>
  <c r="W24" i="4"/>
  <c r="Y24" i="4" s="1"/>
  <c r="N25" i="4"/>
  <c r="S25" i="3"/>
  <c r="U25" i="3" s="1"/>
  <c r="V25" i="3" s="1"/>
  <c r="Z25" i="3"/>
  <c r="Y24" i="2" l="1"/>
  <c r="X26" i="3"/>
  <c r="X25" i="2"/>
  <c r="O25" i="5"/>
  <c r="X25" i="5"/>
  <c r="I27" i="5"/>
  <c r="K26" i="5"/>
  <c r="J26" i="5"/>
  <c r="U24" i="3"/>
  <c r="W26" i="3"/>
  <c r="Y26" i="3" s="1"/>
  <c r="N27" i="3"/>
  <c r="I28" i="3"/>
  <c r="K27" i="3"/>
  <c r="J27" i="3"/>
  <c r="C24" i="6" s="1"/>
  <c r="O25" i="2"/>
  <c r="V22" i="2"/>
  <c r="K26" i="4"/>
  <c r="J26" i="4"/>
  <c r="I27" i="4"/>
  <c r="X25" i="4"/>
  <c r="N26" i="2"/>
  <c r="W25" i="2"/>
  <c r="Y25" i="2" s="1"/>
  <c r="Z25" i="4"/>
  <c r="S25" i="4"/>
  <c r="U25" i="4" s="1"/>
  <c r="V25" i="4" s="1"/>
  <c r="Z25" i="5"/>
  <c r="S25" i="5"/>
  <c r="U25" i="5" s="1"/>
  <c r="V25" i="5" s="1"/>
  <c r="N26" i="5"/>
  <c r="W25" i="5"/>
  <c r="Y25" i="5" s="1"/>
  <c r="O26" i="3"/>
  <c r="S24" i="2"/>
  <c r="U24" i="2" s="1"/>
  <c r="V24" i="2" s="1"/>
  <c r="Z24" i="2"/>
  <c r="V22" i="4"/>
  <c r="I27" i="2"/>
  <c r="K26" i="2"/>
  <c r="J26" i="2"/>
  <c r="W25" i="4"/>
  <c r="N26" i="4"/>
  <c r="V22" i="5"/>
  <c r="X26" i="5" l="1"/>
  <c r="Y25" i="4"/>
  <c r="O26" i="2"/>
  <c r="X27" i="3"/>
  <c r="X26" i="4"/>
  <c r="X26" i="2"/>
  <c r="O26" i="4"/>
  <c r="O26" i="5"/>
  <c r="W26" i="2"/>
  <c r="Y26" i="2" s="1"/>
  <c r="N27" i="2"/>
  <c r="I28" i="5"/>
  <c r="K27" i="5"/>
  <c r="J27" i="5"/>
  <c r="C26" i="6" s="1"/>
  <c r="K28" i="3"/>
  <c r="J28" i="3"/>
  <c r="I29" i="3"/>
  <c r="N28" i="3"/>
  <c r="W27" i="3"/>
  <c r="V24" i="3"/>
  <c r="Z26" i="3"/>
  <c r="S26" i="3"/>
  <c r="U26" i="3" s="1"/>
  <c r="V26" i="3" s="1"/>
  <c r="Z25" i="2"/>
  <c r="S25" i="2"/>
  <c r="U25" i="2" s="1"/>
  <c r="N27" i="4"/>
  <c r="W26" i="4"/>
  <c r="Y26" i="4" s="1"/>
  <c r="I28" i="2"/>
  <c r="J27" i="2"/>
  <c r="C23" i="6" s="1"/>
  <c r="K27" i="2"/>
  <c r="C30" i="6"/>
  <c r="O27" i="3"/>
  <c r="S26" i="2"/>
  <c r="U26" i="2" s="1"/>
  <c r="V26" i="2" s="1"/>
  <c r="Z26" i="2"/>
  <c r="I28" i="4"/>
  <c r="K27" i="4"/>
  <c r="J27" i="4"/>
  <c r="C25" i="6" s="1"/>
  <c r="N27" i="5"/>
  <c r="W26" i="5"/>
  <c r="Y26" i="5" s="1"/>
  <c r="X28" i="3" l="1"/>
  <c r="W27" i="5"/>
  <c r="N28" i="5"/>
  <c r="C32" i="6"/>
  <c r="O27" i="5"/>
  <c r="N28" i="4"/>
  <c r="W27" i="4"/>
  <c r="C31" i="6"/>
  <c r="O27" i="4"/>
  <c r="K28" i="4"/>
  <c r="O28" i="4" s="1"/>
  <c r="J28" i="4"/>
  <c r="I29" i="4"/>
  <c r="S26" i="5"/>
  <c r="U26" i="5" s="1"/>
  <c r="Z26" i="5"/>
  <c r="C48" i="6"/>
  <c r="Z27" i="3"/>
  <c r="S27" i="3"/>
  <c r="U27" i="3" s="1"/>
  <c r="V27" i="3" s="1"/>
  <c r="C63" i="7" s="1"/>
  <c r="V25" i="2"/>
  <c r="S26" i="4"/>
  <c r="U26" i="4" s="1"/>
  <c r="V26" i="4" s="1"/>
  <c r="Z26" i="4"/>
  <c r="K28" i="5"/>
  <c r="J28" i="5"/>
  <c r="I29" i="5"/>
  <c r="W27" i="2"/>
  <c r="N28" i="2"/>
  <c r="C29" i="6"/>
  <c r="O27" i="2"/>
  <c r="W28" i="3"/>
  <c r="Y28" i="3" s="1"/>
  <c r="N29" i="3"/>
  <c r="C42" i="6"/>
  <c r="Y27" i="3"/>
  <c r="C36" i="6" s="1"/>
  <c r="X27" i="5"/>
  <c r="C62" i="7"/>
  <c r="K28" i="2"/>
  <c r="J28" i="2"/>
  <c r="I29" i="2"/>
  <c r="X27" i="2"/>
  <c r="X27" i="4"/>
  <c r="I30" i="3"/>
  <c r="J29" i="3"/>
  <c r="K29" i="3"/>
  <c r="O28" i="3"/>
  <c r="O28" i="5" l="1"/>
  <c r="O29" i="3"/>
  <c r="C6" i="6"/>
  <c r="X29" i="3"/>
  <c r="X28" i="2"/>
  <c r="C12" i="6"/>
  <c r="K29" i="4"/>
  <c r="J29" i="4"/>
  <c r="I30" i="4"/>
  <c r="V26" i="5"/>
  <c r="K29" i="5"/>
  <c r="O29" i="5" s="1"/>
  <c r="J29" i="5"/>
  <c r="I30" i="5"/>
  <c r="C43" i="6"/>
  <c r="Y27" i="4"/>
  <c r="C37" i="6" s="1"/>
  <c r="O28" i="2"/>
  <c r="Z28" i="5"/>
  <c r="S28" i="5"/>
  <c r="N29" i="4"/>
  <c r="W28" i="4"/>
  <c r="Z28" i="3"/>
  <c r="S28" i="3"/>
  <c r="C50" i="6"/>
  <c r="S27" i="5"/>
  <c r="U27" i="5" s="1"/>
  <c r="V27" i="5" s="1"/>
  <c r="Z27" i="5"/>
  <c r="W29" i="3"/>
  <c r="Y29" i="3" s="1"/>
  <c r="N30" i="3"/>
  <c r="C7" i="6"/>
  <c r="C13" i="6"/>
  <c r="Z28" i="4"/>
  <c r="S28" i="4"/>
  <c r="C41" i="6"/>
  <c r="Y27" i="2"/>
  <c r="C35" i="6" s="1"/>
  <c r="C10" i="7"/>
  <c r="C14" i="7"/>
  <c r="N29" i="5"/>
  <c r="W28" i="5"/>
  <c r="I31" i="3"/>
  <c r="K30" i="3"/>
  <c r="J30" i="3"/>
  <c r="X28" i="4"/>
  <c r="X29" i="4" s="1"/>
  <c r="C44" i="6"/>
  <c r="Y27" i="5"/>
  <c r="C38" i="6" s="1"/>
  <c r="S29" i="3"/>
  <c r="U29" i="3" s="1"/>
  <c r="V29" i="3" s="1"/>
  <c r="Z29" i="3"/>
  <c r="C47" i="6"/>
  <c r="Z27" i="2"/>
  <c r="S27" i="2"/>
  <c r="U27" i="2" s="1"/>
  <c r="V27" i="2" s="1"/>
  <c r="C58" i="7" s="1"/>
  <c r="N29" i="2"/>
  <c r="W28" i="2"/>
  <c r="C49" i="6"/>
  <c r="S27" i="4"/>
  <c r="U27" i="4" s="1"/>
  <c r="V27" i="4" s="1"/>
  <c r="C68" i="7" s="1"/>
  <c r="Z27" i="4"/>
  <c r="I30" i="2"/>
  <c r="K29" i="2"/>
  <c r="J29" i="2"/>
  <c r="X28" i="5"/>
  <c r="X29" i="2" l="1"/>
  <c r="X30" i="3"/>
  <c r="X29" i="5"/>
  <c r="O29" i="2"/>
  <c r="Y28" i="2"/>
  <c r="C11" i="6"/>
  <c r="C5" i="6"/>
  <c r="O30" i="3"/>
  <c r="S30" i="3" s="1"/>
  <c r="U30" i="3" s="1"/>
  <c r="V30" i="3" s="1"/>
  <c r="C19" i="7"/>
  <c r="C23" i="7"/>
  <c r="W29" i="4"/>
  <c r="Y29" i="4" s="1"/>
  <c r="N30" i="4"/>
  <c r="U28" i="5"/>
  <c r="Z29" i="2"/>
  <c r="S29" i="2"/>
  <c r="U29" i="2" s="1"/>
  <c r="V29" i="2" s="1"/>
  <c r="K30" i="2"/>
  <c r="J30" i="2"/>
  <c r="I31" i="2"/>
  <c r="Z28" i="2"/>
  <c r="S28" i="2"/>
  <c r="C32" i="7"/>
  <c r="C5" i="7"/>
  <c r="Y28" i="5"/>
  <c r="C72" i="7"/>
  <c r="U28" i="4"/>
  <c r="J31" i="3"/>
  <c r="I32" i="3"/>
  <c r="K31" i="3"/>
  <c r="C8" i="6"/>
  <c r="C73" i="7"/>
  <c r="C14" i="6"/>
  <c r="N31" i="3"/>
  <c r="W30" i="3"/>
  <c r="W29" i="2"/>
  <c r="Y29" i="2" s="1"/>
  <c r="N30" i="2"/>
  <c r="W29" i="5"/>
  <c r="Y29" i="5" s="1"/>
  <c r="N30" i="5"/>
  <c r="U28" i="3"/>
  <c r="I31" i="4"/>
  <c r="K30" i="4"/>
  <c r="J30" i="4"/>
  <c r="O29" i="4"/>
  <c r="I31" i="5"/>
  <c r="J30" i="5"/>
  <c r="K30" i="5"/>
  <c r="Z29" i="5"/>
  <c r="S29" i="5"/>
  <c r="U29" i="5" s="1"/>
  <c r="V29" i="5" s="1"/>
  <c r="Y28" i="4"/>
  <c r="X30" i="4" l="1"/>
  <c r="Y30" i="3"/>
  <c r="Z30" i="3"/>
  <c r="X30" i="2"/>
  <c r="O30" i="2"/>
  <c r="O31" i="3"/>
  <c r="X31" i="3"/>
  <c r="O30" i="4"/>
  <c r="X30" i="5"/>
  <c r="I32" i="2"/>
  <c r="K31" i="2"/>
  <c r="O31" i="2" s="1"/>
  <c r="J31" i="2"/>
  <c r="S30" i="4"/>
  <c r="U30" i="4" s="1"/>
  <c r="V30" i="4" s="1"/>
  <c r="Z30" i="4"/>
  <c r="I32" i="4"/>
  <c r="K31" i="4"/>
  <c r="J31" i="4"/>
  <c r="K32" i="3"/>
  <c r="I33" i="3"/>
  <c r="J32" i="3"/>
  <c r="V28" i="3"/>
  <c r="W30" i="2"/>
  <c r="Y30" i="2" s="1"/>
  <c r="N31" i="2"/>
  <c r="J31" i="5"/>
  <c r="I32" i="5"/>
  <c r="K31" i="5"/>
  <c r="Z30" i="2"/>
  <c r="S30" i="2"/>
  <c r="U30" i="2" s="1"/>
  <c r="V30" i="2" s="1"/>
  <c r="V28" i="4"/>
  <c r="O30" i="5"/>
  <c r="N31" i="4"/>
  <c r="W30" i="4"/>
  <c r="Y30" i="4" s="1"/>
  <c r="N32" i="3"/>
  <c r="W31" i="3"/>
  <c r="W30" i="5"/>
  <c r="N31" i="5"/>
  <c r="S29" i="4"/>
  <c r="Z29" i="4"/>
  <c r="V28" i="5"/>
  <c r="U28" i="2"/>
  <c r="Z31" i="3"/>
  <c r="S31" i="3"/>
  <c r="C37" i="7"/>
  <c r="C28" i="7"/>
  <c r="O32" i="3" l="1"/>
  <c r="Y31" i="3"/>
  <c r="X31" i="4"/>
  <c r="Y30" i="5"/>
  <c r="X31" i="2"/>
  <c r="O31" i="5"/>
  <c r="S31" i="5" s="1"/>
  <c r="U31" i="5" s="1"/>
  <c r="V31" i="5" s="1"/>
  <c r="X31" i="5"/>
  <c r="N33" i="3"/>
  <c r="W32" i="3"/>
  <c r="N32" i="4"/>
  <c r="W31" i="4"/>
  <c r="Y31" i="4" s="1"/>
  <c r="O31" i="4"/>
  <c r="S31" i="2"/>
  <c r="Z31" i="2"/>
  <c r="V28" i="2"/>
  <c r="K32" i="4"/>
  <c r="O32" i="4" s="1"/>
  <c r="I33" i="4"/>
  <c r="J32" i="4"/>
  <c r="U29" i="4"/>
  <c r="X32" i="3"/>
  <c r="S32" i="3"/>
  <c r="U32" i="3" s="1"/>
  <c r="V32" i="3" s="1"/>
  <c r="Z32" i="3"/>
  <c r="W31" i="5"/>
  <c r="Y31" i="5" s="1"/>
  <c r="N32" i="5"/>
  <c r="K33" i="3"/>
  <c r="O33" i="3" s="1"/>
  <c r="J33" i="3"/>
  <c r="I34" i="3"/>
  <c r="Z30" i="5"/>
  <c r="S30" i="5"/>
  <c r="U31" i="3"/>
  <c r="J32" i="5"/>
  <c r="I33" i="5"/>
  <c r="K32" i="5"/>
  <c r="J32" i="2"/>
  <c r="I33" i="2"/>
  <c r="K32" i="2"/>
  <c r="N32" i="2"/>
  <c r="W31" i="2"/>
  <c r="Y31" i="2" s="1"/>
  <c r="Z31" i="5" l="1"/>
  <c r="X32" i="2"/>
  <c r="X32" i="5"/>
  <c r="O32" i="2"/>
  <c r="X33" i="3"/>
  <c r="K33" i="4"/>
  <c r="I34" i="4"/>
  <c r="J33" i="4"/>
  <c r="U30" i="5"/>
  <c r="Y32" i="3"/>
  <c r="W33" i="3"/>
  <c r="Y33" i="3" s="1"/>
  <c r="N34" i="3"/>
  <c r="W32" i="4"/>
  <c r="N33" i="4"/>
  <c r="Z32" i="2"/>
  <c r="S32" i="2"/>
  <c r="U32" i="2" s="1"/>
  <c r="V32" i="2" s="1"/>
  <c r="V29" i="4"/>
  <c r="X32" i="4"/>
  <c r="U31" i="2"/>
  <c r="I34" i="2"/>
  <c r="K33" i="2"/>
  <c r="J33" i="2"/>
  <c r="X33" i="2" s="1"/>
  <c r="Z32" i="4"/>
  <c r="S32" i="4"/>
  <c r="U32" i="4" s="1"/>
  <c r="V32" i="4" s="1"/>
  <c r="V31" i="3"/>
  <c r="I35" i="3"/>
  <c r="K34" i="3"/>
  <c r="J34" i="3"/>
  <c r="X34" i="3" s="1"/>
  <c r="Z33" i="3"/>
  <c r="S33" i="3"/>
  <c r="W32" i="5"/>
  <c r="Y32" i="5" s="1"/>
  <c r="N33" i="5"/>
  <c r="O32" i="5"/>
  <c r="S31" i="4"/>
  <c r="Z31" i="4"/>
  <c r="W32" i="2"/>
  <c r="Y32" i="2" s="1"/>
  <c r="N33" i="2"/>
  <c r="K33" i="5"/>
  <c r="J33" i="5"/>
  <c r="X33" i="5" s="1"/>
  <c r="I34" i="5"/>
  <c r="Y32" i="4" l="1"/>
  <c r="O33" i="4"/>
  <c r="N35" i="3"/>
  <c r="W34" i="3"/>
  <c r="Y34" i="3" s="1"/>
  <c r="U33" i="3"/>
  <c r="U31" i="4"/>
  <c r="N34" i="2"/>
  <c r="W33" i="2"/>
  <c r="Y33" i="2" s="1"/>
  <c r="X33" i="4"/>
  <c r="I35" i="4"/>
  <c r="K34" i="4"/>
  <c r="J34" i="4"/>
  <c r="V31" i="2"/>
  <c r="V30" i="5"/>
  <c r="S33" i="4"/>
  <c r="U33" i="4" s="1"/>
  <c r="V33" i="4" s="1"/>
  <c r="Z33" i="4"/>
  <c r="O34" i="3"/>
  <c r="K34" i="5"/>
  <c r="I35" i="5"/>
  <c r="J34" i="5"/>
  <c r="X34" i="5" s="1"/>
  <c r="O33" i="2"/>
  <c r="S32" i="5"/>
  <c r="Z32" i="5"/>
  <c r="K34" i="2"/>
  <c r="J34" i="2"/>
  <c r="I35" i="2"/>
  <c r="W33" i="5"/>
  <c r="Y33" i="5" s="1"/>
  <c r="N34" i="5"/>
  <c r="J35" i="3"/>
  <c r="I36" i="3"/>
  <c r="K35" i="3"/>
  <c r="O35" i="3" s="1"/>
  <c r="O33" i="5"/>
  <c r="W33" i="4"/>
  <c r="N34" i="4"/>
  <c r="X34" i="2" l="1"/>
  <c r="X35" i="3"/>
  <c r="X34" i="4"/>
  <c r="O34" i="5"/>
  <c r="Y33" i="4"/>
  <c r="S33" i="5"/>
  <c r="U33" i="5" s="1"/>
  <c r="V33" i="5" s="1"/>
  <c r="Z33" i="5"/>
  <c r="V33" i="3"/>
  <c r="J35" i="4"/>
  <c r="I36" i="4"/>
  <c r="K35" i="4"/>
  <c r="S34" i="5"/>
  <c r="U34" i="5" s="1"/>
  <c r="V34" i="5" s="1"/>
  <c r="Z34" i="5"/>
  <c r="J35" i="2"/>
  <c r="I36" i="2"/>
  <c r="K35" i="2"/>
  <c r="O35" i="2" s="1"/>
  <c r="N36" i="3"/>
  <c r="W35" i="3"/>
  <c r="Y35" i="3" s="1"/>
  <c r="O34" i="2"/>
  <c r="Z35" i="3"/>
  <c r="S35" i="3"/>
  <c r="U35" i="3" s="1"/>
  <c r="V35" i="3" s="1"/>
  <c r="J36" i="3"/>
  <c r="K36" i="3"/>
  <c r="I37" i="3"/>
  <c r="S34" i="3"/>
  <c r="Z34" i="3"/>
  <c r="N35" i="5"/>
  <c r="W34" i="5"/>
  <c r="Y34" i="5" s="1"/>
  <c r="S33" i="2"/>
  <c r="Z33" i="2"/>
  <c r="J35" i="5"/>
  <c r="K35" i="5"/>
  <c r="O35" i="5" s="1"/>
  <c r="I36" i="5"/>
  <c r="W34" i="2"/>
  <c r="N35" i="2"/>
  <c r="V31" i="4"/>
  <c r="W34" i="4"/>
  <c r="Y34" i="4" s="1"/>
  <c r="N35" i="4"/>
  <c r="U32" i="5"/>
  <c r="O34" i="4"/>
  <c r="Y34" i="2" l="1"/>
  <c r="X35" i="2"/>
  <c r="O36" i="3"/>
  <c r="S36" i="3" s="1"/>
  <c r="U36" i="3" s="1"/>
  <c r="V36" i="3" s="1"/>
  <c r="X35" i="5"/>
  <c r="X35" i="4"/>
  <c r="X36" i="3"/>
  <c r="W35" i="4"/>
  <c r="Y35" i="4" s="1"/>
  <c r="N36" i="4"/>
  <c r="K36" i="5"/>
  <c r="O36" i="5" s="1"/>
  <c r="I37" i="5"/>
  <c r="J36" i="5"/>
  <c r="Z34" i="2"/>
  <c r="S34" i="2"/>
  <c r="U34" i="2" s="1"/>
  <c r="V34" i="2" s="1"/>
  <c r="I37" i="2"/>
  <c r="K36" i="2"/>
  <c r="O36" i="2" s="1"/>
  <c r="J36" i="2"/>
  <c r="W35" i="2"/>
  <c r="N36" i="2"/>
  <c r="O35" i="4"/>
  <c r="S34" i="4"/>
  <c r="Z34" i="4"/>
  <c r="U33" i="2"/>
  <c r="I37" i="4"/>
  <c r="K36" i="4"/>
  <c r="J36" i="4"/>
  <c r="N37" i="3"/>
  <c r="W36" i="3"/>
  <c r="Y36" i="3" s="1"/>
  <c r="Z35" i="2"/>
  <c r="S35" i="2"/>
  <c r="U35" i="2" s="1"/>
  <c r="V35" i="2" s="1"/>
  <c r="U34" i="3"/>
  <c r="K37" i="3"/>
  <c r="O37" i="3" s="1"/>
  <c r="J37" i="3"/>
  <c r="I38" i="3"/>
  <c r="Z35" i="5"/>
  <c r="S35" i="5"/>
  <c r="U35" i="5" s="1"/>
  <c r="V35" i="5" s="1"/>
  <c r="V32" i="5"/>
  <c r="N36" i="5"/>
  <c r="W35" i="5"/>
  <c r="Y35" i="5" s="1"/>
  <c r="X36" i="5" l="1"/>
  <c r="Z36" i="3"/>
  <c r="Y35" i="2"/>
  <c r="X36" i="2"/>
  <c r="X36" i="4"/>
  <c r="X37" i="3"/>
  <c r="W36" i="2"/>
  <c r="Y36" i="2" s="1"/>
  <c r="N37" i="2"/>
  <c r="W36" i="4"/>
  <c r="Y36" i="4" s="1"/>
  <c r="N37" i="4"/>
  <c r="Z35" i="4"/>
  <c r="S35" i="4"/>
  <c r="U35" i="4" s="1"/>
  <c r="V35" i="4" s="1"/>
  <c r="V34" i="3"/>
  <c r="S36" i="5"/>
  <c r="U36" i="5" s="1"/>
  <c r="V36" i="5" s="1"/>
  <c r="Z36" i="5"/>
  <c r="N38" i="3"/>
  <c r="W37" i="3"/>
  <c r="S36" i="2"/>
  <c r="Z36" i="2"/>
  <c r="J37" i="2"/>
  <c r="K37" i="2"/>
  <c r="I38" i="2"/>
  <c r="U34" i="4"/>
  <c r="K38" i="3"/>
  <c r="J38" i="3"/>
  <c r="X38" i="3" s="1"/>
  <c r="I39" i="3"/>
  <c r="Z37" i="3"/>
  <c r="S37" i="3"/>
  <c r="I38" i="5"/>
  <c r="K37" i="5"/>
  <c r="J37" i="5"/>
  <c r="O36" i="4"/>
  <c r="V33" i="2"/>
  <c r="W36" i="5"/>
  <c r="Y36" i="5" s="1"/>
  <c r="N37" i="5"/>
  <c r="K37" i="4"/>
  <c r="I38" i="4"/>
  <c r="J37" i="4"/>
  <c r="Y37" i="3" l="1"/>
  <c r="O37" i="4"/>
  <c r="X37" i="2"/>
  <c r="X37" i="5"/>
  <c r="X37" i="4"/>
  <c r="O37" i="2"/>
  <c r="Z37" i="2" s="1"/>
  <c r="W37" i="2"/>
  <c r="Y37" i="2" s="1"/>
  <c r="N38" i="2"/>
  <c r="I39" i="5"/>
  <c r="K38" i="5"/>
  <c r="J38" i="5"/>
  <c r="X38" i="5" s="1"/>
  <c r="U37" i="3"/>
  <c r="W38" i="3"/>
  <c r="Y38" i="3" s="1"/>
  <c r="N39" i="3"/>
  <c r="I39" i="4"/>
  <c r="K38" i="4"/>
  <c r="J38" i="4"/>
  <c r="I40" i="3"/>
  <c r="J39" i="3"/>
  <c r="D24" i="6" s="1"/>
  <c r="K39" i="3"/>
  <c r="W37" i="5"/>
  <c r="Y37" i="5" s="1"/>
  <c r="N38" i="5"/>
  <c r="N38" i="4"/>
  <c r="W37" i="4"/>
  <c r="Y37" i="4" s="1"/>
  <c r="O38" i="3"/>
  <c r="S36" i="4"/>
  <c r="Z36" i="4"/>
  <c r="U36" i="2"/>
  <c r="Z37" i="4"/>
  <c r="S37" i="4"/>
  <c r="U37" i="4" s="1"/>
  <c r="V37" i="4" s="1"/>
  <c r="V34" i="4"/>
  <c r="I39" i="2"/>
  <c r="K38" i="2"/>
  <c r="J38" i="2"/>
  <c r="O37" i="5"/>
  <c r="X38" i="2" l="1"/>
  <c r="X38" i="4"/>
  <c r="S37" i="2"/>
  <c r="U37" i="2" s="1"/>
  <c r="V37" i="2" s="1"/>
  <c r="N39" i="5"/>
  <c r="W38" i="5"/>
  <c r="Y38" i="5" s="1"/>
  <c r="V36" i="2"/>
  <c r="O38" i="5"/>
  <c r="I40" i="4"/>
  <c r="J39" i="4"/>
  <c r="D25" i="6" s="1"/>
  <c r="K39" i="4"/>
  <c r="X39" i="3"/>
  <c r="K39" i="2"/>
  <c r="I40" i="2"/>
  <c r="J39" i="2"/>
  <c r="D23" i="6" s="1"/>
  <c r="N39" i="4"/>
  <c r="W38" i="4"/>
  <c r="Y38" i="4" s="1"/>
  <c r="K39" i="5"/>
  <c r="I40" i="5"/>
  <c r="J39" i="5"/>
  <c r="D26" i="6" s="1"/>
  <c r="W39" i="3"/>
  <c r="N40" i="3"/>
  <c r="V37" i="3"/>
  <c r="D30" i="6"/>
  <c r="O39" i="3"/>
  <c r="N39" i="2"/>
  <c r="W38" i="2"/>
  <c r="Y38" i="2" s="1"/>
  <c r="J40" i="3"/>
  <c r="I41" i="3"/>
  <c r="K40" i="3"/>
  <c r="O38" i="4"/>
  <c r="S38" i="3"/>
  <c r="U38" i="3" s="1"/>
  <c r="V38" i="3" s="1"/>
  <c r="Z38" i="3"/>
  <c r="U36" i="4"/>
  <c r="S37" i="5"/>
  <c r="U37" i="5" s="1"/>
  <c r="V37" i="5" s="1"/>
  <c r="Z37" i="5"/>
  <c r="O38" i="2"/>
  <c r="S38" i="2" l="1"/>
  <c r="Z38" i="2"/>
  <c r="W40" i="3"/>
  <c r="N41" i="3"/>
  <c r="K40" i="4"/>
  <c r="J40" i="4"/>
  <c r="I41" i="4"/>
  <c r="N40" i="5"/>
  <c r="W39" i="5"/>
  <c r="D48" i="6"/>
  <c r="Z39" i="3"/>
  <c r="S39" i="3"/>
  <c r="U39" i="3" s="1"/>
  <c r="V39" i="3" s="1"/>
  <c r="D63" i="7" s="1"/>
  <c r="D29" i="6"/>
  <c r="O39" i="2"/>
  <c r="X40" i="3"/>
  <c r="D31" i="6"/>
  <c r="O39" i="4"/>
  <c r="D42" i="6"/>
  <c r="Y39" i="3"/>
  <c r="D36" i="6" s="1"/>
  <c r="S38" i="5"/>
  <c r="U38" i="5" s="1"/>
  <c r="V38" i="5" s="1"/>
  <c r="Z38" i="5"/>
  <c r="X39" i="5"/>
  <c r="X40" i="5" s="1"/>
  <c r="W39" i="4"/>
  <c r="N40" i="4"/>
  <c r="N40" i="2"/>
  <c r="W39" i="2"/>
  <c r="I41" i="2"/>
  <c r="K40" i="2"/>
  <c r="O40" i="2" s="1"/>
  <c r="J40" i="2"/>
  <c r="V36" i="4"/>
  <c r="D32" i="6"/>
  <c r="O39" i="5"/>
  <c r="X39" i="2"/>
  <c r="K40" i="5"/>
  <c r="J40" i="5"/>
  <c r="I41" i="5"/>
  <c r="S38" i="4"/>
  <c r="U38" i="4" s="1"/>
  <c r="V38" i="4" s="1"/>
  <c r="Z38" i="4"/>
  <c r="O40" i="3"/>
  <c r="I42" i="3"/>
  <c r="J41" i="3"/>
  <c r="K41" i="3"/>
  <c r="X39" i="4"/>
  <c r="Y40" i="3" l="1"/>
  <c r="X40" i="2"/>
  <c r="Y39" i="5"/>
  <c r="D38" i="6" s="1"/>
  <c r="D44" i="6"/>
  <c r="W40" i="5"/>
  <c r="Y40" i="5" s="1"/>
  <c r="N41" i="5"/>
  <c r="I42" i="4"/>
  <c r="K41" i="4"/>
  <c r="J41" i="4"/>
  <c r="O40" i="5"/>
  <c r="D7" i="6"/>
  <c r="D13" i="6"/>
  <c r="D68" i="7"/>
  <c r="W40" i="4"/>
  <c r="Y40" i="4" s="1"/>
  <c r="N41" i="4"/>
  <c r="D10" i="7"/>
  <c r="D14" i="7"/>
  <c r="Z40" i="3"/>
  <c r="S40" i="3"/>
  <c r="W41" i="3"/>
  <c r="N42" i="3"/>
  <c r="X40" i="4"/>
  <c r="S40" i="2"/>
  <c r="Z40" i="2"/>
  <c r="X41" i="3"/>
  <c r="O40" i="4"/>
  <c r="O41" i="3"/>
  <c r="K41" i="2"/>
  <c r="O41" i="2" s="1"/>
  <c r="J41" i="2"/>
  <c r="I42" i="2"/>
  <c r="D47" i="6"/>
  <c r="S39" i="2"/>
  <c r="U39" i="2" s="1"/>
  <c r="V39" i="2" s="1"/>
  <c r="Z39" i="2"/>
  <c r="D50" i="6"/>
  <c r="S39" i="5"/>
  <c r="U39" i="5" s="1"/>
  <c r="V39" i="5" s="1"/>
  <c r="Z39" i="5"/>
  <c r="D49" i="6"/>
  <c r="Z39" i="4"/>
  <c r="S39" i="4"/>
  <c r="U39" i="4" s="1"/>
  <c r="V39" i="4" s="1"/>
  <c r="D43" i="6"/>
  <c r="Y39" i="4"/>
  <c r="D37" i="6" s="1"/>
  <c r="I42" i="5"/>
  <c r="K41" i="5"/>
  <c r="O41" i="5" s="1"/>
  <c r="J41" i="5"/>
  <c r="X41" i="5" s="1"/>
  <c r="D41" i="6"/>
  <c r="Y39" i="2"/>
  <c r="D35" i="6" s="1"/>
  <c r="K42" i="3"/>
  <c r="O42" i="3" s="1"/>
  <c r="J42" i="3"/>
  <c r="I43" i="3"/>
  <c r="N41" i="2"/>
  <c r="W40" i="2"/>
  <c r="Y40" i="2" s="1"/>
  <c r="U38" i="2"/>
  <c r="X41" i="2" l="1"/>
  <c r="X42" i="3"/>
  <c r="D17" i="6"/>
  <c r="D56" i="7"/>
  <c r="X41" i="4"/>
  <c r="K42" i="2"/>
  <c r="J42" i="2"/>
  <c r="I43" i="2"/>
  <c r="Z41" i="2"/>
  <c r="S41" i="2"/>
  <c r="U41" i="2" s="1"/>
  <c r="V41" i="2" s="1"/>
  <c r="W41" i="4"/>
  <c r="Y41" i="4" s="1"/>
  <c r="N42" i="4"/>
  <c r="D19" i="7"/>
  <c r="D23" i="7"/>
  <c r="S41" i="5"/>
  <c r="U41" i="5" s="1"/>
  <c r="V41" i="5" s="1"/>
  <c r="Z41" i="5"/>
  <c r="K42" i="5"/>
  <c r="I43" i="5"/>
  <c r="J42" i="5"/>
  <c r="W42" i="3"/>
  <c r="Y42" i="3" s="1"/>
  <c r="N43" i="3"/>
  <c r="O41" i="4"/>
  <c r="S41" i="3"/>
  <c r="U41" i="3" s="1"/>
  <c r="V41" i="3" s="1"/>
  <c r="Z41" i="3"/>
  <c r="Z40" i="5"/>
  <c r="S40" i="5"/>
  <c r="Y41" i="3"/>
  <c r="I43" i="4"/>
  <c r="J42" i="4"/>
  <c r="K42" i="4"/>
  <c r="O42" i="4" s="1"/>
  <c r="V38" i="2"/>
  <c r="D57" i="7"/>
  <c r="N42" i="2"/>
  <c r="W41" i="2"/>
  <c r="I44" i="3"/>
  <c r="K43" i="3"/>
  <c r="J43" i="3"/>
  <c r="U40" i="3"/>
  <c r="N42" i="5"/>
  <c r="W41" i="5"/>
  <c r="Y41" i="5" s="1"/>
  <c r="S40" i="4"/>
  <c r="Z40" i="4"/>
  <c r="U40" i="2"/>
  <c r="S42" i="3"/>
  <c r="U42" i="3" s="1"/>
  <c r="V42" i="3" s="1"/>
  <c r="Z42" i="3"/>
  <c r="Y41" i="2" l="1"/>
  <c r="O42" i="5"/>
  <c r="X42" i="2"/>
  <c r="X43" i="3"/>
  <c r="O42" i="2"/>
  <c r="Z42" i="2" s="1"/>
  <c r="X42" i="4"/>
  <c r="O43" i="3"/>
  <c r="S43" i="3" s="1"/>
  <c r="X42" i="5"/>
  <c r="I44" i="5"/>
  <c r="K43" i="5"/>
  <c r="J43" i="5"/>
  <c r="X43" i="5" s="1"/>
  <c r="V40" i="2"/>
  <c r="U40" i="4"/>
  <c r="U40" i="5"/>
  <c r="Z41" i="4"/>
  <c r="S41" i="4"/>
  <c r="U41" i="4" s="1"/>
  <c r="V41" i="4" s="1"/>
  <c r="I44" i="2"/>
  <c r="K43" i="2"/>
  <c r="J43" i="2"/>
  <c r="S42" i="4"/>
  <c r="U42" i="4" s="1"/>
  <c r="V42" i="4" s="1"/>
  <c r="Z42" i="4"/>
  <c r="N44" i="3"/>
  <c r="W43" i="3"/>
  <c r="Y43" i="3" s="1"/>
  <c r="D5" i="6"/>
  <c r="D58" i="7"/>
  <c r="D11" i="6"/>
  <c r="N43" i="5"/>
  <c r="W42" i="5"/>
  <c r="Y42" i="5" s="1"/>
  <c r="N43" i="4"/>
  <c r="W42" i="4"/>
  <c r="Y42" i="4" s="1"/>
  <c r="K44" i="3"/>
  <c r="J44" i="3"/>
  <c r="I45" i="3"/>
  <c r="V40" i="3"/>
  <c r="S42" i="5"/>
  <c r="U42" i="5" s="1"/>
  <c r="V42" i="5" s="1"/>
  <c r="Z42" i="5"/>
  <c r="J43" i="4"/>
  <c r="K43" i="4"/>
  <c r="I44" i="4"/>
  <c r="W42" i="2"/>
  <c r="Y42" i="2" s="1"/>
  <c r="N43" i="2"/>
  <c r="S42" i="2" l="1"/>
  <c r="O43" i="2"/>
  <c r="X44" i="3"/>
  <c r="Z43" i="3"/>
  <c r="X43" i="2"/>
  <c r="O43" i="4"/>
  <c r="O43" i="5"/>
  <c r="X43" i="4"/>
  <c r="D32" i="7"/>
  <c r="D5" i="7"/>
  <c r="Z43" i="4"/>
  <c r="S43" i="4"/>
  <c r="V40" i="4"/>
  <c r="S43" i="5"/>
  <c r="U43" i="5" s="1"/>
  <c r="V43" i="5" s="1"/>
  <c r="Z43" i="5"/>
  <c r="I46" i="3"/>
  <c r="K45" i="3"/>
  <c r="J45" i="3"/>
  <c r="J44" i="2"/>
  <c r="I45" i="2"/>
  <c r="K44" i="2"/>
  <c r="U42" i="2"/>
  <c r="S43" i="2"/>
  <c r="U43" i="2" s="1"/>
  <c r="V43" i="2" s="1"/>
  <c r="Z43" i="2"/>
  <c r="N45" i="3"/>
  <c r="W44" i="3"/>
  <c r="Y44" i="3" s="1"/>
  <c r="U43" i="3"/>
  <c r="W43" i="2"/>
  <c r="Y43" i="2" s="1"/>
  <c r="N44" i="2"/>
  <c r="N44" i="4"/>
  <c r="W43" i="4"/>
  <c r="Y43" i="4" s="1"/>
  <c r="K44" i="5"/>
  <c r="O44" i="5" s="1"/>
  <c r="J44" i="5"/>
  <c r="I45" i="5"/>
  <c r="O44" i="3"/>
  <c r="V40" i="5"/>
  <c r="N44" i="5"/>
  <c r="W43" i="5"/>
  <c r="Y43" i="5" s="1"/>
  <c r="K44" i="4"/>
  <c r="J44" i="4"/>
  <c r="I45" i="4"/>
  <c r="X44" i="5" l="1"/>
  <c r="O45" i="3"/>
  <c r="X45" i="3"/>
  <c r="X44" i="2"/>
  <c r="X44" i="4"/>
  <c r="O44" i="2"/>
  <c r="S44" i="2" s="1"/>
  <c r="V42" i="2"/>
  <c r="S45" i="3"/>
  <c r="U45" i="3" s="1"/>
  <c r="V45" i="3" s="1"/>
  <c r="Z45" i="3"/>
  <c r="I46" i="4"/>
  <c r="K45" i="4"/>
  <c r="J45" i="4"/>
  <c r="X45" i="4" s="1"/>
  <c r="O44" i="4"/>
  <c r="V43" i="3"/>
  <c r="Z44" i="5"/>
  <c r="S44" i="5"/>
  <c r="K45" i="5"/>
  <c r="J45" i="5"/>
  <c r="I46" i="5"/>
  <c r="I46" i="2"/>
  <c r="K45" i="2"/>
  <c r="J45" i="2"/>
  <c r="W45" i="3"/>
  <c r="Y45" i="3" s="1"/>
  <c r="N46" i="3"/>
  <c r="U43" i="4"/>
  <c r="W44" i="4"/>
  <c r="Y44" i="4" s="1"/>
  <c r="N45" i="4"/>
  <c r="I47" i="3"/>
  <c r="K46" i="3"/>
  <c r="J46" i="3"/>
  <c r="Z44" i="3"/>
  <c r="S44" i="3"/>
  <c r="W44" i="2"/>
  <c r="N45" i="2"/>
  <c r="N45" i="5"/>
  <c r="W44" i="5"/>
  <c r="Y44" i="5" s="1"/>
  <c r="Y44" i="2" l="1"/>
  <c r="Z44" i="2"/>
  <c r="X46" i="3"/>
  <c r="X45" i="5"/>
  <c r="O45" i="4"/>
  <c r="X45" i="2"/>
  <c r="W45" i="5"/>
  <c r="Y45" i="5" s="1"/>
  <c r="N46" i="5"/>
  <c r="W45" i="2"/>
  <c r="Y45" i="2" s="1"/>
  <c r="N46" i="2"/>
  <c r="S45" i="4"/>
  <c r="U45" i="4" s="1"/>
  <c r="V45" i="4" s="1"/>
  <c r="Z45" i="4"/>
  <c r="O45" i="5"/>
  <c r="J46" i="4"/>
  <c r="I47" i="4"/>
  <c r="K46" i="4"/>
  <c r="O45" i="2"/>
  <c r="U44" i="5"/>
  <c r="U44" i="3"/>
  <c r="K46" i="2"/>
  <c r="J46" i="2"/>
  <c r="I47" i="2"/>
  <c r="I47" i="5"/>
  <c r="K46" i="5"/>
  <c r="O46" i="5" s="1"/>
  <c r="J46" i="5"/>
  <c r="X46" i="5" s="1"/>
  <c r="O46" i="3"/>
  <c r="V43" i="4"/>
  <c r="N47" i="3"/>
  <c r="W46" i="3"/>
  <c r="Y46" i="3" s="1"/>
  <c r="U44" i="2"/>
  <c r="I48" i="3"/>
  <c r="K47" i="3"/>
  <c r="O47" i="3" s="1"/>
  <c r="J47" i="3"/>
  <c r="Z44" i="4"/>
  <c r="S44" i="4"/>
  <c r="W45" i="4"/>
  <c r="Y45" i="4" s="1"/>
  <c r="N46" i="4"/>
  <c r="X47" i="3" l="1"/>
  <c r="X46" i="2"/>
  <c r="X46" i="4"/>
  <c r="O46" i="2"/>
  <c r="S46" i="5"/>
  <c r="U46" i="5" s="1"/>
  <c r="V46" i="5" s="1"/>
  <c r="Z46" i="5"/>
  <c r="W46" i="5"/>
  <c r="Y46" i="5" s="1"/>
  <c r="N47" i="5"/>
  <c r="I48" i="2"/>
  <c r="K47" i="2"/>
  <c r="J47" i="2"/>
  <c r="S46" i="3"/>
  <c r="Z46" i="3"/>
  <c r="Z46" i="2"/>
  <c r="S46" i="2"/>
  <c r="U46" i="2" s="1"/>
  <c r="V46" i="2" s="1"/>
  <c r="I49" i="3"/>
  <c r="K48" i="3"/>
  <c r="J48" i="3"/>
  <c r="J47" i="5"/>
  <c r="I48" i="5"/>
  <c r="K47" i="5"/>
  <c r="V44" i="5"/>
  <c r="I48" i="4"/>
  <c r="K47" i="4"/>
  <c r="O47" i="4" s="1"/>
  <c r="J47" i="4"/>
  <c r="S45" i="5"/>
  <c r="Z45" i="5"/>
  <c r="U44" i="4"/>
  <c r="S47" i="3"/>
  <c r="U47" i="3" s="1"/>
  <c r="V47" i="3" s="1"/>
  <c r="Z47" i="3"/>
  <c r="V44" i="2"/>
  <c r="N48" i="3"/>
  <c r="W47" i="3"/>
  <c r="Y47" i="3" s="1"/>
  <c r="S45" i="2"/>
  <c r="Z45" i="2"/>
  <c r="N47" i="4"/>
  <c r="W46" i="4"/>
  <c r="Y46" i="4" s="1"/>
  <c r="W46" i="2"/>
  <c r="Y46" i="2" s="1"/>
  <c r="N47" i="2"/>
  <c r="V44" i="3"/>
  <c r="O46" i="4"/>
  <c r="X47" i="4" l="1"/>
  <c r="X48" i="3"/>
  <c r="X47" i="2"/>
  <c r="O47" i="5"/>
  <c r="X47" i="5"/>
  <c r="U45" i="5"/>
  <c r="U46" i="3"/>
  <c r="S47" i="4"/>
  <c r="U47" i="4" s="1"/>
  <c r="V47" i="4" s="1"/>
  <c r="Z47" i="4"/>
  <c r="N48" i="4"/>
  <c r="W47" i="4"/>
  <c r="Y47" i="4" s="1"/>
  <c r="O48" i="3"/>
  <c r="N48" i="2"/>
  <c r="W47" i="2"/>
  <c r="Y47" i="2" s="1"/>
  <c r="I49" i="4"/>
  <c r="K48" i="4"/>
  <c r="J48" i="4"/>
  <c r="K48" i="2"/>
  <c r="J48" i="2"/>
  <c r="I49" i="2"/>
  <c r="U45" i="2"/>
  <c r="Z47" i="5"/>
  <c r="S47" i="5"/>
  <c r="U47" i="5" s="1"/>
  <c r="V47" i="5" s="1"/>
  <c r="J48" i="5"/>
  <c r="K48" i="5"/>
  <c r="I49" i="5"/>
  <c r="K49" i="3"/>
  <c r="J49" i="3"/>
  <c r="I50" i="3"/>
  <c r="O47" i="2"/>
  <c r="N48" i="5"/>
  <c r="W47" i="5"/>
  <c r="Y47" i="5" s="1"/>
  <c r="Z46" i="4"/>
  <c r="S46" i="4"/>
  <c r="W48" i="3"/>
  <c r="Y48" i="3" s="1"/>
  <c r="N49" i="3"/>
  <c r="V44" i="4"/>
  <c r="X49" i="3" l="1"/>
  <c r="X48" i="4"/>
  <c r="O48" i="5"/>
  <c r="X48" i="5"/>
  <c r="X48" i="2"/>
  <c r="W49" i="3"/>
  <c r="Y49" i="3" s="1"/>
  <c r="N50" i="3"/>
  <c r="W48" i="4"/>
  <c r="Y48" i="4" s="1"/>
  <c r="N49" i="4"/>
  <c r="K49" i="5"/>
  <c r="O49" i="5" s="1"/>
  <c r="I50" i="5"/>
  <c r="J49" i="5"/>
  <c r="X49" i="5" s="1"/>
  <c r="U46" i="4"/>
  <c r="S48" i="5"/>
  <c r="U48" i="5" s="1"/>
  <c r="V48" i="5" s="1"/>
  <c r="Z48" i="5"/>
  <c r="O49" i="3"/>
  <c r="O48" i="2"/>
  <c r="V45" i="5"/>
  <c r="N49" i="2"/>
  <c r="W48" i="2"/>
  <c r="N49" i="5"/>
  <c r="W48" i="5"/>
  <c r="Y48" i="5" s="1"/>
  <c r="V45" i="2"/>
  <c r="Z48" i="3"/>
  <c r="S48" i="3"/>
  <c r="I51" i="3"/>
  <c r="J50" i="3"/>
  <c r="K50" i="3"/>
  <c r="I50" i="4"/>
  <c r="J49" i="4"/>
  <c r="K49" i="4"/>
  <c r="V46" i="3"/>
  <c r="K49" i="2"/>
  <c r="I50" i="2"/>
  <c r="J49" i="2"/>
  <c r="S47" i="2"/>
  <c r="Z47" i="2"/>
  <c r="O48" i="4"/>
  <c r="O49" i="2" l="1"/>
  <c r="Z49" i="2" s="1"/>
  <c r="X49" i="4"/>
  <c r="X50" i="3"/>
  <c r="Y48" i="2"/>
  <c r="X49" i="2"/>
  <c r="I51" i="5"/>
  <c r="K50" i="5"/>
  <c r="J50" i="5"/>
  <c r="X50" i="5" s="1"/>
  <c r="W50" i="3"/>
  <c r="Y50" i="3" s="1"/>
  <c r="N51" i="3"/>
  <c r="N50" i="4"/>
  <c r="W49" i="4"/>
  <c r="Y49" i="4" s="1"/>
  <c r="I52" i="3"/>
  <c r="K51" i="3"/>
  <c r="J51" i="3"/>
  <c r="E24" i="6" s="1"/>
  <c r="Z48" i="4"/>
  <c r="S48" i="4"/>
  <c r="V46" i="4"/>
  <c r="S49" i="5"/>
  <c r="U49" i="5" s="1"/>
  <c r="V49" i="5" s="1"/>
  <c r="Z49" i="5"/>
  <c r="N50" i="2"/>
  <c r="W49" i="2"/>
  <c r="Y49" i="2" s="1"/>
  <c r="U47" i="2"/>
  <c r="K50" i="4"/>
  <c r="I51" i="4"/>
  <c r="J50" i="4"/>
  <c r="Z48" i="2"/>
  <c r="S48" i="2"/>
  <c r="U48" i="2" s="1"/>
  <c r="V48" i="2" s="1"/>
  <c r="O49" i="4"/>
  <c r="O50" i="3"/>
  <c r="Z49" i="3"/>
  <c r="S49" i="3"/>
  <c r="U49" i="3" s="1"/>
  <c r="V49" i="3" s="1"/>
  <c r="U48" i="3"/>
  <c r="K50" i="2"/>
  <c r="J50" i="2"/>
  <c r="X50" i="2" s="1"/>
  <c r="I51" i="2"/>
  <c r="W49" i="5"/>
  <c r="Y49" i="5" s="1"/>
  <c r="N50" i="5"/>
  <c r="S49" i="2" l="1"/>
  <c r="U49" i="2" s="1"/>
  <c r="V49" i="2" s="1"/>
  <c r="X50" i="4"/>
  <c r="V48" i="3"/>
  <c r="E30" i="6"/>
  <c r="O51" i="3"/>
  <c r="V47" i="2"/>
  <c r="W50" i="4"/>
  <c r="Y50" i="4" s="1"/>
  <c r="N51" i="4"/>
  <c r="O50" i="5"/>
  <c r="S49" i="4"/>
  <c r="U49" i="4" s="1"/>
  <c r="V49" i="4" s="1"/>
  <c r="Z49" i="4"/>
  <c r="W51" i="3"/>
  <c r="N52" i="3"/>
  <c r="J51" i="5"/>
  <c r="E26" i="6" s="1"/>
  <c r="K51" i="5"/>
  <c r="I52" i="5"/>
  <c r="J52" i="3"/>
  <c r="I53" i="3"/>
  <c r="K52" i="3"/>
  <c r="I52" i="2"/>
  <c r="K51" i="2"/>
  <c r="J51" i="2"/>
  <c r="E23" i="6" s="1"/>
  <c r="X51" i="3"/>
  <c r="S50" i="3"/>
  <c r="U50" i="3" s="1"/>
  <c r="V50" i="3" s="1"/>
  <c r="Z50" i="3"/>
  <c r="N51" i="2"/>
  <c r="W50" i="2"/>
  <c r="Y50" i="2" s="1"/>
  <c r="N51" i="5"/>
  <c r="W50" i="5"/>
  <c r="Y50" i="5" s="1"/>
  <c r="I52" i="4"/>
  <c r="J51" i="4"/>
  <c r="E25" i="6" s="1"/>
  <c r="K51" i="4"/>
  <c r="U48" i="4"/>
  <c r="O50" i="2"/>
  <c r="O50" i="4"/>
  <c r="X52" i="3" l="1"/>
  <c r="W51" i="2"/>
  <c r="N52" i="2"/>
  <c r="W52" i="3"/>
  <c r="N53" i="3"/>
  <c r="E42" i="6"/>
  <c r="Y51" i="3"/>
  <c r="E36" i="6" s="1"/>
  <c r="S50" i="4"/>
  <c r="U50" i="4" s="1"/>
  <c r="V50" i="4" s="1"/>
  <c r="Z50" i="4"/>
  <c r="N52" i="4"/>
  <c r="W51" i="4"/>
  <c r="E48" i="6"/>
  <c r="Z51" i="3"/>
  <c r="S51" i="3"/>
  <c r="U51" i="3" s="1"/>
  <c r="V51" i="3" s="1"/>
  <c r="E63" i="7" s="1"/>
  <c r="E31" i="6"/>
  <c r="O51" i="4"/>
  <c r="K52" i="4"/>
  <c r="J52" i="4"/>
  <c r="I53" i="4"/>
  <c r="V48" i="4"/>
  <c r="J52" i="2"/>
  <c r="K52" i="2"/>
  <c r="I53" i="2"/>
  <c r="O52" i="3"/>
  <c r="I54" i="3"/>
  <c r="K53" i="3"/>
  <c r="O53" i="3" s="1"/>
  <c r="J53" i="3"/>
  <c r="K52" i="5"/>
  <c r="I53" i="5"/>
  <c r="J52" i="5"/>
  <c r="X51" i="4"/>
  <c r="N52" i="5"/>
  <c r="W51" i="5"/>
  <c r="E32" i="6"/>
  <c r="O51" i="5"/>
  <c r="X51" i="5"/>
  <c r="S50" i="5"/>
  <c r="U50" i="5" s="1"/>
  <c r="Z50" i="5"/>
  <c r="S50" i="2"/>
  <c r="U50" i="2" s="1"/>
  <c r="V50" i="2" s="1"/>
  <c r="Z50" i="2"/>
  <c r="E29" i="6"/>
  <c r="O51" i="2"/>
  <c r="X51" i="2"/>
  <c r="X52" i="4" l="1"/>
  <c r="O52" i="2"/>
  <c r="Y52" i="3"/>
  <c r="X53" i="3"/>
  <c r="E12" i="6"/>
  <c r="X52" i="5"/>
  <c r="E6" i="6"/>
  <c r="K54" i="3"/>
  <c r="J54" i="3"/>
  <c r="X54" i="3" s="1"/>
  <c r="I55" i="3"/>
  <c r="S52" i="3"/>
  <c r="Z52" i="3"/>
  <c r="E10" i="7"/>
  <c r="E14" i="7"/>
  <c r="E50" i="6"/>
  <c r="Z51" i="5"/>
  <c r="S51" i="5"/>
  <c r="U51" i="5" s="1"/>
  <c r="V51" i="5" s="1"/>
  <c r="N53" i="4"/>
  <c r="W52" i="4"/>
  <c r="Y52" i="4" s="1"/>
  <c r="I54" i="5"/>
  <c r="K53" i="5"/>
  <c r="J53" i="5"/>
  <c r="O52" i="4"/>
  <c r="N54" i="3"/>
  <c r="W53" i="3"/>
  <c r="Y53" i="3" s="1"/>
  <c r="Z52" i="2"/>
  <c r="S52" i="2"/>
  <c r="O52" i="5"/>
  <c r="E49" i="6"/>
  <c r="Z51" i="4"/>
  <c r="S51" i="4"/>
  <c r="U51" i="4" s="1"/>
  <c r="V51" i="4" s="1"/>
  <c r="E7" i="6" s="1"/>
  <c r="E44" i="6"/>
  <c r="Y51" i="5"/>
  <c r="E38" i="6" s="1"/>
  <c r="W52" i="5"/>
  <c r="N53" i="5"/>
  <c r="K53" i="4"/>
  <c r="I54" i="4"/>
  <c r="J53" i="4"/>
  <c r="X52" i="2"/>
  <c r="N53" i="2"/>
  <c r="W52" i="2"/>
  <c r="I54" i="2"/>
  <c r="K53" i="2"/>
  <c r="O53" i="2" s="1"/>
  <c r="J53" i="2"/>
  <c r="V50" i="5"/>
  <c r="X53" i="5"/>
  <c r="E43" i="6"/>
  <c r="Y51" i="4"/>
  <c r="E37" i="6" s="1"/>
  <c r="E47" i="6"/>
  <c r="Z51" i="2"/>
  <c r="S51" i="2"/>
  <c r="U51" i="2" s="1"/>
  <c r="V51" i="2" s="1"/>
  <c r="S53" i="3"/>
  <c r="U53" i="3" s="1"/>
  <c r="V53" i="3" s="1"/>
  <c r="Z53" i="3"/>
  <c r="E41" i="6"/>
  <c r="Y51" i="2"/>
  <c r="E35" i="6" s="1"/>
  <c r="E13" i="6" l="1"/>
  <c r="Y52" i="5"/>
  <c r="X53" i="4"/>
  <c r="Y52" i="2"/>
  <c r="W53" i="5"/>
  <c r="Y53" i="5" s="1"/>
  <c r="N54" i="5"/>
  <c r="N54" i="4"/>
  <c r="W53" i="4"/>
  <c r="Y53" i="4" s="1"/>
  <c r="E8" i="6"/>
  <c r="E73" i="7"/>
  <c r="E14" i="6"/>
  <c r="S53" i="2"/>
  <c r="U53" i="2" s="1"/>
  <c r="V53" i="2" s="1"/>
  <c r="Z53" i="2"/>
  <c r="W53" i="2"/>
  <c r="N54" i="2"/>
  <c r="U52" i="3"/>
  <c r="K54" i="2"/>
  <c r="I55" i="2"/>
  <c r="J54" i="2"/>
  <c r="S52" i="5"/>
  <c r="Z52" i="5"/>
  <c r="Z52" i="4"/>
  <c r="S52" i="4"/>
  <c r="I56" i="3"/>
  <c r="K55" i="3"/>
  <c r="J55" i="3"/>
  <c r="I55" i="5"/>
  <c r="K54" i="5"/>
  <c r="O54" i="5" s="1"/>
  <c r="J54" i="5"/>
  <c r="X53" i="2"/>
  <c r="N55" i="3"/>
  <c r="W54" i="3"/>
  <c r="Y54" i="3" s="1"/>
  <c r="K54" i="4"/>
  <c r="O54" i="4" s="1"/>
  <c r="I55" i="4"/>
  <c r="J54" i="4"/>
  <c r="U52" i="2"/>
  <c r="O53" i="4"/>
  <c r="O53" i="5"/>
  <c r="O54" i="3"/>
  <c r="X55" i="3" l="1"/>
  <c r="X54" i="4"/>
  <c r="X54" i="5"/>
  <c r="Y53" i="2"/>
  <c r="O55" i="3"/>
  <c r="S55" i="3" s="1"/>
  <c r="U55" i="3" s="1"/>
  <c r="V55" i="3" s="1"/>
  <c r="X54" i="2"/>
  <c r="Z54" i="3"/>
  <c r="S54" i="3"/>
  <c r="K55" i="5"/>
  <c r="I56" i="5"/>
  <c r="J55" i="5"/>
  <c r="X55" i="5" s="1"/>
  <c r="Z54" i="5"/>
  <c r="S54" i="5"/>
  <c r="U54" i="5" s="1"/>
  <c r="V54" i="5" s="1"/>
  <c r="W54" i="2"/>
  <c r="Y54" i="2" s="1"/>
  <c r="N55" i="2"/>
  <c r="Z53" i="5"/>
  <c r="S53" i="5"/>
  <c r="U53" i="5" s="1"/>
  <c r="V53" i="5" s="1"/>
  <c r="S53" i="4"/>
  <c r="U53" i="4" s="1"/>
  <c r="V53" i="4" s="1"/>
  <c r="Z53" i="4"/>
  <c r="V52" i="2"/>
  <c r="U52" i="5"/>
  <c r="W55" i="3"/>
  <c r="Y55" i="3" s="1"/>
  <c r="N56" i="3"/>
  <c r="K55" i="2"/>
  <c r="J55" i="2"/>
  <c r="X55" i="2" s="1"/>
  <c r="I56" i="2"/>
  <c r="W54" i="4"/>
  <c r="Y54" i="4" s="1"/>
  <c r="N55" i="4"/>
  <c r="E37" i="7"/>
  <c r="E28" i="7"/>
  <c r="O54" i="2"/>
  <c r="N55" i="5"/>
  <c r="W54" i="5"/>
  <c r="Z54" i="4"/>
  <c r="S54" i="4"/>
  <c r="U54" i="4" s="1"/>
  <c r="V54" i="4" s="1"/>
  <c r="V52" i="3"/>
  <c r="K56" i="3"/>
  <c r="J56" i="3"/>
  <c r="I57" i="3"/>
  <c r="U52" i="4"/>
  <c r="K55" i="4"/>
  <c r="J55" i="4"/>
  <c r="I56" i="4"/>
  <c r="X56" i="3" l="1"/>
  <c r="Y54" i="5"/>
  <c r="X55" i="4"/>
  <c r="O56" i="3"/>
  <c r="Z55" i="3"/>
  <c r="O55" i="5"/>
  <c r="S55" i="5" s="1"/>
  <c r="O55" i="4"/>
  <c r="N56" i="2"/>
  <c r="W55" i="2"/>
  <c r="Y55" i="2" s="1"/>
  <c r="N57" i="3"/>
  <c r="W56" i="3"/>
  <c r="Y56" i="3" s="1"/>
  <c r="S56" i="3"/>
  <c r="U56" i="3" s="1"/>
  <c r="V56" i="3" s="1"/>
  <c r="Z56" i="3"/>
  <c r="O55" i="2"/>
  <c r="I57" i="2"/>
  <c r="K56" i="2"/>
  <c r="O56" i="2" s="1"/>
  <c r="J56" i="2"/>
  <c r="V52" i="5"/>
  <c r="I57" i="4"/>
  <c r="K56" i="4"/>
  <c r="J56" i="4"/>
  <c r="X56" i="4" s="1"/>
  <c r="Z55" i="5"/>
  <c r="V52" i="4"/>
  <c r="Z54" i="2"/>
  <c r="S54" i="2"/>
  <c r="K56" i="5"/>
  <c r="J56" i="5"/>
  <c r="X56" i="5" s="1"/>
  <c r="I57" i="5"/>
  <c r="N56" i="5"/>
  <c r="W55" i="5"/>
  <c r="Y55" i="5" s="1"/>
  <c r="S55" i="4"/>
  <c r="U55" i="4" s="1"/>
  <c r="V55" i="4" s="1"/>
  <c r="Z55" i="4"/>
  <c r="U54" i="3"/>
  <c r="I58" i="3"/>
  <c r="K57" i="3"/>
  <c r="J57" i="3"/>
  <c r="X57" i="3" s="1"/>
  <c r="N56" i="4"/>
  <c r="W55" i="4"/>
  <c r="Y55" i="4" s="1"/>
  <c r="X56" i="2" l="1"/>
  <c r="O57" i="3"/>
  <c r="O56" i="4"/>
  <c r="Z56" i="2"/>
  <c r="S56" i="2"/>
  <c r="U56" i="2" s="1"/>
  <c r="V56" i="2" s="1"/>
  <c r="J57" i="2"/>
  <c r="K57" i="2"/>
  <c r="I58" i="2"/>
  <c r="U54" i="2"/>
  <c r="S55" i="2"/>
  <c r="U55" i="2" s="1"/>
  <c r="V55" i="2" s="1"/>
  <c r="Z55" i="2"/>
  <c r="W56" i="2"/>
  <c r="Y56" i="2" s="1"/>
  <c r="N57" i="2"/>
  <c r="N57" i="4"/>
  <c r="W56" i="4"/>
  <c r="Y56" i="4" s="1"/>
  <c r="W56" i="5"/>
  <c r="Y56" i="5" s="1"/>
  <c r="N57" i="5"/>
  <c r="U55" i="5"/>
  <c r="N58" i="3"/>
  <c r="W57" i="3"/>
  <c r="Y57" i="3" s="1"/>
  <c r="I58" i="5"/>
  <c r="K57" i="5"/>
  <c r="J57" i="5"/>
  <c r="V54" i="3"/>
  <c r="S56" i="4"/>
  <c r="Z56" i="4"/>
  <c r="O56" i="5"/>
  <c r="K57" i="4"/>
  <c r="I58" i="4"/>
  <c r="J57" i="4"/>
  <c r="X57" i="4" s="1"/>
  <c r="Z57" i="3"/>
  <c r="S57" i="3"/>
  <c r="J58" i="3"/>
  <c r="K58" i="3"/>
  <c r="I59" i="3"/>
  <c r="X57" i="5" l="1"/>
  <c r="X58" i="3"/>
  <c r="O57" i="4"/>
  <c r="S57" i="4" s="1"/>
  <c r="O57" i="2"/>
  <c r="X57" i="2"/>
  <c r="U57" i="3"/>
  <c r="V54" i="2"/>
  <c r="N58" i="5"/>
  <c r="W57" i="5"/>
  <c r="Y57" i="5" s="1"/>
  <c r="W57" i="2"/>
  <c r="Y57" i="2" s="1"/>
  <c r="N58" i="2"/>
  <c r="I59" i="4"/>
  <c r="K58" i="4"/>
  <c r="J58" i="4"/>
  <c r="Z57" i="2"/>
  <c r="S57" i="2"/>
  <c r="U57" i="2" s="1"/>
  <c r="V57" i="2" s="1"/>
  <c r="U56" i="4"/>
  <c r="O57" i="5"/>
  <c r="I59" i="2"/>
  <c r="J58" i="2"/>
  <c r="K58" i="2"/>
  <c r="K59" i="3"/>
  <c r="J59" i="3"/>
  <c r="X59" i="3" s="1"/>
  <c r="I60" i="3"/>
  <c r="V55" i="5"/>
  <c r="Z56" i="5"/>
  <c r="S56" i="5"/>
  <c r="K58" i="5"/>
  <c r="I59" i="5"/>
  <c r="J58" i="5"/>
  <c r="O58" i="3"/>
  <c r="W57" i="4"/>
  <c r="Y57" i="4" s="1"/>
  <c r="N58" i="4"/>
  <c r="W58" i="3"/>
  <c r="Y58" i="3" s="1"/>
  <c r="N59" i="3"/>
  <c r="X58" i="5" l="1"/>
  <c r="Z57" i="4"/>
  <c r="X58" i="4"/>
  <c r="X58" i="2"/>
  <c r="I60" i="2"/>
  <c r="K59" i="2"/>
  <c r="J59" i="2"/>
  <c r="X59" i="2" s="1"/>
  <c r="S57" i="5"/>
  <c r="U57" i="5" s="1"/>
  <c r="V57" i="5" s="1"/>
  <c r="Z57" i="5"/>
  <c r="U56" i="5"/>
  <c r="V57" i="3"/>
  <c r="Z58" i="3"/>
  <c r="S58" i="3"/>
  <c r="V56" i="4"/>
  <c r="W58" i="2"/>
  <c r="Y58" i="2" s="1"/>
  <c r="N59" i="2"/>
  <c r="N59" i="5"/>
  <c r="W58" i="5"/>
  <c r="Y58" i="5" s="1"/>
  <c r="O58" i="5"/>
  <c r="U57" i="4"/>
  <c r="V57" i="4" s="1"/>
  <c r="N59" i="4"/>
  <c r="W58" i="4"/>
  <c r="Y58" i="4" s="1"/>
  <c r="I61" i="3"/>
  <c r="K60" i="3"/>
  <c r="J60" i="3"/>
  <c r="X60" i="3" s="1"/>
  <c r="O58" i="4"/>
  <c r="J59" i="4"/>
  <c r="K59" i="4"/>
  <c r="I60" i="4"/>
  <c r="O59" i="3"/>
  <c r="I60" i="5"/>
  <c r="K59" i="5"/>
  <c r="J59" i="5"/>
  <c r="W59" i="3"/>
  <c r="Y59" i="3" s="1"/>
  <c r="N60" i="3"/>
  <c r="O58" i="2"/>
  <c r="O59" i="5" l="1"/>
  <c r="X59" i="5"/>
  <c r="X59" i="4"/>
  <c r="J61" i="3"/>
  <c r="I62" i="3"/>
  <c r="K61" i="3"/>
  <c r="S58" i="2"/>
  <c r="Z58" i="2"/>
  <c r="N61" i="3"/>
  <c r="W60" i="3"/>
  <c r="Y60" i="3" s="1"/>
  <c r="V56" i="5"/>
  <c r="K60" i="5"/>
  <c r="O60" i="5" s="1"/>
  <c r="J60" i="5"/>
  <c r="I61" i="5"/>
  <c r="O59" i="4"/>
  <c r="K60" i="2"/>
  <c r="J60" i="2"/>
  <c r="I61" i="2"/>
  <c r="N60" i="5"/>
  <c r="W59" i="5"/>
  <c r="Y59" i="5" s="1"/>
  <c r="S59" i="3"/>
  <c r="U59" i="3" s="1"/>
  <c r="V59" i="3" s="1"/>
  <c r="Z59" i="3"/>
  <c r="I61" i="4"/>
  <c r="K60" i="4"/>
  <c r="J60" i="4"/>
  <c r="X60" i="4" s="1"/>
  <c r="S58" i="5"/>
  <c r="Z58" i="5"/>
  <c r="O59" i="2"/>
  <c r="U58" i="3"/>
  <c r="W59" i="4"/>
  <c r="Y59" i="4" s="1"/>
  <c r="N60" i="4"/>
  <c r="S59" i="5"/>
  <c r="U59" i="5" s="1"/>
  <c r="V59" i="5" s="1"/>
  <c r="Z59" i="5"/>
  <c r="W59" i="2"/>
  <c r="Y59" i="2" s="1"/>
  <c r="N60" i="2"/>
  <c r="Z58" i="4"/>
  <c r="S58" i="4"/>
  <c r="O60" i="3"/>
  <c r="X60" i="5" l="1"/>
  <c r="X60" i="2"/>
  <c r="O60" i="4"/>
  <c r="S60" i="4" s="1"/>
  <c r="U60" i="4" s="1"/>
  <c r="V60" i="4" s="1"/>
  <c r="X61" i="3"/>
  <c r="U58" i="5"/>
  <c r="N61" i="2"/>
  <c r="W60" i="2"/>
  <c r="Y60" i="2" s="1"/>
  <c r="I63" i="3"/>
  <c r="K62" i="3"/>
  <c r="J62" i="3"/>
  <c r="U58" i="4"/>
  <c r="U58" i="2"/>
  <c r="O61" i="3"/>
  <c r="N61" i="5"/>
  <c r="W60" i="5"/>
  <c r="Y60" i="5" s="1"/>
  <c r="K61" i="2"/>
  <c r="J61" i="2"/>
  <c r="I62" i="2"/>
  <c r="Z60" i="4"/>
  <c r="K61" i="4"/>
  <c r="J61" i="4"/>
  <c r="I62" i="4"/>
  <c r="V58" i="3"/>
  <c r="S60" i="3"/>
  <c r="Z60" i="3"/>
  <c r="W60" i="4"/>
  <c r="Y60" i="4" s="1"/>
  <c r="N61" i="4"/>
  <c r="O60" i="2"/>
  <c r="Z60" i="5"/>
  <c r="S60" i="5"/>
  <c r="U60" i="5" s="1"/>
  <c r="V60" i="5" s="1"/>
  <c r="Z59" i="2"/>
  <c r="S59" i="2"/>
  <c r="U59" i="2" s="1"/>
  <c r="V59" i="2" s="1"/>
  <c r="Z59" i="4"/>
  <c r="S59" i="4"/>
  <c r="U59" i="4" s="1"/>
  <c r="V59" i="4" s="1"/>
  <c r="N62" i="3"/>
  <c r="W61" i="3"/>
  <c r="Y61" i="3" s="1"/>
  <c r="K61" i="5"/>
  <c r="J61" i="5"/>
  <c r="I62" i="5"/>
  <c r="X61" i="2" l="1"/>
  <c r="X61" i="5"/>
  <c r="X62" i="3"/>
  <c r="O61" i="4"/>
  <c r="Z61" i="4" s="1"/>
  <c r="O61" i="5"/>
  <c r="Z61" i="5" s="1"/>
  <c r="X61" i="4"/>
  <c r="O62" i="3"/>
  <c r="V58" i="5"/>
  <c r="W62" i="3"/>
  <c r="Y62" i="3" s="1"/>
  <c r="N63" i="3"/>
  <c r="W63" i="3" s="1"/>
  <c r="K62" i="2"/>
  <c r="I63" i="2"/>
  <c r="J62" i="2"/>
  <c r="W61" i="2"/>
  <c r="Y61" i="2" s="1"/>
  <c r="N62" i="2"/>
  <c r="W61" i="4"/>
  <c r="Y61" i="4" s="1"/>
  <c r="N62" i="4"/>
  <c r="W61" i="5"/>
  <c r="Y61" i="5" s="1"/>
  <c r="N62" i="5"/>
  <c r="K63" i="3"/>
  <c r="J63" i="3"/>
  <c r="F24" i="6" s="1"/>
  <c r="O61" i="2"/>
  <c r="S60" i="2"/>
  <c r="U60" i="2" s="1"/>
  <c r="V60" i="2" s="1"/>
  <c r="Z60" i="2"/>
  <c r="I63" i="5"/>
  <c r="K62" i="5"/>
  <c r="J62" i="5"/>
  <c r="X62" i="5" s="1"/>
  <c r="Z61" i="3"/>
  <c r="S61" i="3"/>
  <c r="U61" i="3" s="1"/>
  <c r="V61" i="3" s="1"/>
  <c r="V58" i="4"/>
  <c r="V58" i="2"/>
  <c r="K62" i="4"/>
  <c r="I63" i="4"/>
  <c r="J62" i="4"/>
  <c r="U60" i="3"/>
  <c r="X62" i="2" l="1"/>
  <c r="S61" i="4"/>
  <c r="S61" i="5"/>
  <c r="O62" i="5"/>
  <c r="Z62" i="5" s="1"/>
  <c r="X62" i="4"/>
  <c r="S62" i="5"/>
  <c r="U62" i="5" s="1"/>
  <c r="V62" i="5" s="1"/>
  <c r="O62" i="2"/>
  <c r="F30" i="6"/>
  <c r="O63" i="3"/>
  <c r="V60" i="3"/>
  <c r="U61" i="5"/>
  <c r="S62" i="3"/>
  <c r="U62" i="3" s="1"/>
  <c r="V62" i="3" s="1"/>
  <c r="Z62" i="3"/>
  <c r="N63" i="4"/>
  <c r="W62" i="4"/>
  <c r="Y62" i="4" s="1"/>
  <c r="J63" i="5"/>
  <c r="F26" i="6" s="1"/>
  <c r="K63" i="5"/>
  <c r="F42" i="6"/>
  <c r="U61" i="4"/>
  <c r="N63" i="2"/>
  <c r="W62" i="2"/>
  <c r="Y62" i="2" s="1"/>
  <c r="K63" i="2"/>
  <c r="J63" i="2"/>
  <c r="F23" i="6" s="1"/>
  <c r="K63" i="4"/>
  <c r="J63" i="4"/>
  <c r="F25" i="6" s="1"/>
  <c r="O62" i="4"/>
  <c r="Z61" i="2"/>
  <c r="S61" i="2"/>
  <c r="U61" i="2" s="1"/>
  <c r="V61" i="2" s="1"/>
  <c r="W62" i="5"/>
  <c r="Y62" i="5" s="1"/>
  <c r="N63" i="5"/>
  <c r="X63" i="3"/>
  <c r="Y63" i="3" s="1"/>
  <c r="F36" i="6" s="1"/>
  <c r="W63" i="5" l="1"/>
  <c r="V61" i="5"/>
  <c r="F31" i="6"/>
  <c r="O63" i="4"/>
  <c r="F29" i="6"/>
  <c r="O63" i="2"/>
  <c r="V61" i="4"/>
  <c r="F44" i="6"/>
  <c r="F32" i="6"/>
  <c r="O63" i="5"/>
  <c r="S62" i="2"/>
  <c r="U62" i="2" s="1"/>
  <c r="Z62" i="2"/>
  <c r="X63" i="5"/>
  <c r="Y63" i="5" s="1"/>
  <c r="F38" i="6" s="1"/>
  <c r="W63" i="2"/>
  <c r="F48" i="6"/>
  <c r="S63" i="3"/>
  <c r="Z63" i="3"/>
  <c r="B59" i="7"/>
  <c r="C59" i="7"/>
  <c r="D59" i="7"/>
  <c r="E59" i="7"/>
  <c r="F59" i="7"/>
  <c r="W63" i="4"/>
  <c r="S62" i="4"/>
  <c r="U62" i="4" s="1"/>
  <c r="V62" i="4" s="1"/>
  <c r="Z62" i="4"/>
  <c r="X63" i="2"/>
  <c r="X63" i="4"/>
  <c r="V62" i="2" l="1"/>
  <c r="F50" i="6"/>
  <c r="Z63" i="5"/>
  <c r="S63" i="5"/>
  <c r="B69" i="7"/>
  <c r="C69" i="7"/>
  <c r="D69" i="7"/>
  <c r="E69" i="7"/>
  <c r="F69" i="7"/>
  <c r="F43" i="6"/>
  <c r="Y63" i="4"/>
  <c r="F37" i="6" s="1"/>
  <c r="U63" i="3"/>
  <c r="B61" i="7"/>
  <c r="B18" i="6"/>
  <c r="C18" i="6"/>
  <c r="C61" i="7"/>
  <c r="D18" i="6"/>
  <c r="D61" i="7"/>
  <c r="D8" i="7" s="1"/>
  <c r="E61" i="7"/>
  <c r="E18" i="6"/>
  <c r="F18" i="6"/>
  <c r="F61" i="7"/>
  <c r="F49" i="6"/>
  <c r="Z63" i="4"/>
  <c r="S63" i="4"/>
  <c r="B64" i="7"/>
  <c r="B15" i="7" s="1"/>
  <c r="C64" i="7"/>
  <c r="C15" i="7" s="1"/>
  <c r="D64" i="7"/>
  <c r="D15" i="7" s="1"/>
  <c r="E64" i="7"/>
  <c r="F64" i="7"/>
  <c r="B60" i="7"/>
  <c r="C60" i="7"/>
  <c r="D60" i="7"/>
  <c r="E60" i="7"/>
  <c r="F60" i="7"/>
  <c r="F47" i="6"/>
  <c r="S63" i="2"/>
  <c r="Z63" i="2"/>
  <c r="B54" i="7"/>
  <c r="B6" i="7" s="1"/>
  <c r="C54" i="7"/>
  <c r="C6" i="7" s="1"/>
  <c r="D54" i="7"/>
  <c r="D6" i="7" s="1"/>
  <c r="E54" i="7"/>
  <c r="F54" i="7"/>
  <c r="F41" i="6"/>
  <c r="Y63" i="2"/>
  <c r="F35" i="6" s="1"/>
  <c r="V63" i="3" l="1"/>
  <c r="B62" i="7"/>
  <c r="D62" i="7"/>
  <c r="D9" i="7" s="1"/>
  <c r="E62" i="7"/>
  <c r="F62" i="7"/>
  <c r="B55" i="7"/>
  <c r="C55" i="7"/>
  <c r="C7" i="7" s="1"/>
  <c r="D55" i="7"/>
  <c r="D7" i="7" s="1"/>
  <c r="E55" i="7"/>
  <c r="F55" i="7"/>
  <c r="U63" i="2"/>
  <c r="B17" i="6"/>
  <c r="B56" i="7"/>
  <c r="B8" i="7" s="1"/>
  <c r="C17" i="6"/>
  <c r="C56" i="7"/>
  <c r="C8" i="7" s="1"/>
  <c r="E17" i="6"/>
  <c r="E56" i="7"/>
  <c r="F17" i="6"/>
  <c r="F56" i="7"/>
  <c r="U63" i="4"/>
  <c r="B66" i="7"/>
  <c r="B17" i="7" s="1"/>
  <c r="B19" i="6"/>
  <c r="C19" i="6"/>
  <c r="C66" i="7"/>
  <c r="C17" i="7" s="1"/>
  <c r="D66" i="7"/>
  <c r="D17" i="7" s="1"/>
  <c r="D19" i="6"/>
  <c r="E19" i="6"/>
  <c r="E66" i="7"/>
  <c r="F19" i="6"/>
  <c r="F66" i="7"/>
  <c r="C33" i="7"/>
  <c r="C24" i="7"/>
  <c r="B33" i="7"/>
  <c r="B24" i="7"/>
  <c r="U63" i="5"/>
  <c r="B20" i="6"/>
  <c r="B71" i="7"/>
  <c r="C71" i="7"/>
  <c r="C20" i="6"/>
  <c r="D71" i="7"/>
  <c r="D20" i="6"/>
  <c r="E20" i="6"/>
  <c r="E71" i="7"/>
  <c r="F71" i="7"/>
  <c r="F20" i="6"/>
  <c r="B7" i="7"/>
  <c r="B70" i="7"/>
  <c r="C70" i="7"/>
  <c r="D70" i="7"/>
  <c r="E70" i="7"/>
  <c r="F70" i="7"/>
  <c r="B65" i="7"/>
  <c r="B16" i="7" s="1"/>
  <c r="C65" i="7"/>
  <c r="C16" i="7" s="1"/>
  <c r="D65" i="7"/>
  <c r="D16" i="7" s="1"/>
  <c r="E65" i="7"/>
  <c r="F65" i="7"/>
  <c r="D11" i="7" l="1"/>
  <c r="B34" i="7"/>
  <c r="B25" i="7"/>
  <c r="V63" i="4"/>
  <c r="C67" i="7"/>
  <c r="D67" i="7"/>
  <c r="D18" i="7" s="1"/>
  <c r="D20" i="7" s="1"/>
  <c r="E67" i="7"/>
  <c r="F67" i="7"/>
  <c r="B9" i="7"/>
  <c r="B11" i="7" s="1"/>
  <c r="B18" i="7"/>
  <c r="B20" i="7" s="1"/>
  <c r="D12" i="6"/>
  <c r="D6" i="6"/>
  <c r="F63" i="7"/>
  <c r="F6" i="6"/>
  <c r="F12" i="6"/>
  <c r="C35" i="7"/>
  <c r="C26" i="7"/>
  <c r="B35" i="7"/>
  <c r="B26" i="7"/>
  <c r="V63" i="2"/>
  <c r="C57" i="7"/>
  <c r="E57" i="7"/>
  <c r="F57" i="7"/>
  <c r="C34" i="7"/>
  <c r="C25" i="7"/>
  <c r="V63" i="5"/>
  <c r="B72" i="7"/>
  <c r="D72" i="7"/>
  <c r="E72" i="7"/>
  <c r="F72" i="7"/>
  <c r="C18" i="7" l="1"/>
  <c r="C20" i="7" s="1"/>
  <c r="C27" i="7"/>
  <c r="C29" i="7" s="1"/>
  <c r="E68" i="7"/>
  <c r="E18" i="7" s="1"/>
  <c r="F68" i="7"/>
  <c r="F18" i="7" s="1"/>
  <c r="F7" i="6"/>
  <c r="F13" i="6"/>
  <c r="C9" i="7"/>
  <c r="C11" i="7" s="1"/>
  <c r="C36" i="7"/>
  <c r="C38" i="7" s="1"/>
  <c r="B36" i="7"/>
  <c r="B38" i="7" s="1"/>
  <c r="B27" i="7"/>
  <c r="B29" i="7" s="1"/>
  <c r="D8" i="6"/>
  <c r="D14" i="6"/>
  <c r="D73" i="7"/>
  <c r="D36" i="7" s="1"/>
  <c r="F73" i="7"/>
  <c r="F14" i="6"/>
  <c r="F8" i="6"/>
  <c r="E11" i="6"/>
  <c r="E5" i="6"/>
  <c r="E58" i="7"/>
  <c r="F5" i="6"/>
  <c r="F58" i="7"/>
  <c r="F11" i="6"/>
  <c r="F10" i="7"/>
  <c r="F14" i="7"/>
  <c r="D27" i="7" l="1"/>
  <c r="F32" i="7"/>
  <c r="F5" i="7"/>
  <c r="E32" i="7"/>
  <c r="E5" i="7"/>
  <c r="E6" i="7"/>
  <c r="E33" i="7"/>
  <c r="E7" i="7"/>
  <c r="E8" i="7"/>
  <c r="E34" i="7"/>
  <c r="E35" i="7"/>
  <c r="F23" i="7"/>
  <c r="F19" i="7"/>
  <c r="F15" i="7"/>
  <c r="F17" i="7"/>
  <c r="F16" i="7"/>
  <c r="F27" i="7"/>
  <c r="F7" i="7"/>
  <c r="F37" i="7"/>
  <c r="F28" i="7"/>
  <c r="F24" i="7"/>
  <c r="F33" i="7"/>
  <c r="F26" i="7"/>
  <c r="F25" i="7"/>
  <c r="F35" i="7"/>
  <c r="F34" i="7"/>
  <c r="F6" i="7"/>
  <c r="F36" i="7"/>
  <c r="E9" i="7"/>
  <c r="F9" i="7"/>
  <c r="E19" i="7"/>
  <c r="E23" i="7"/>
  <c r="E24" i="7"/>
  <c r="E15" i="7"/>
  <c r="E17" i="7"/>
  <c r="E16" i="7"/>
  <c r="E25" i="7"/>
  <c r="E26" i="7"/>
  <c r="E36" i="7"/>
  <c r="E27" i="7"/>
  <c r="D37" i="7"/>
  <c r="D28" i="7"/>
  <c r="D24" i="7"/>
  <c r="D33" i="7"/>
  <c r="D34" i="7"/>
  <c r="D25" i="7"/>
  <c r="D35" i="7"/>
  <c r="D26" i="7"/>
  <c r="F8" i="7"/>
  <c r="D38" i="7" l="1"/>
  <c r="D29" i="7"/>
  <c r="F11" i="7"/>
  <c r="F20" i="7"/>
  <c r="E38" i="7"/>
  <c r="E11" i="7"/>
  <c r="F38" i="7"/>
  <c r="F29" i="7"/>
  <c r="E20" i="7"/>
  <c r="E29" i="7"/>
</calcChain>
</file>

<file path=xl/sharedStrings.xml><?xml version="1.0" encoding="utf-8"?>
<sst xmlns="http://schemas.openxmlformats.org/spreadsheetml/2006/main" count="467" uniqueCount="191">
  <si>
    <t>다이소몰 매출 시뮬레이션 — 가정</t>
  </si>
  <si>
    <t>노란 셀만 수정합니다. 시나리오는 A의 레버 3개 조합으로만 정의되고, B~D는 모든 시나리오에 똑같이 적용됩니다.</t>
  </si>
  <si>
    <t>A. 레버 — 시나리오를 정의하는 유일한 입력</t>
  </si>
  <si>
    <t>레버</t>
  </si>
  <si>
    <t>단위</t>
  </si>
  <si>
    <t>S1 현재 기준</t>
  </si>
  <si>
    <t>S2 익일</t>
  </si>
  <si>
    <t>S3 익일+무배</t>
  </si>
  <si>
    <t>S4 +회원 확대</t>
  </si>
  <si>
    <t>연결 과제</t>
  </si>
  <si>
    <t>근거</t>
  </si>
  <si>
    <t>완전 익일배송 (컷오프 개선)</t>
  </si>
  <si>
    <t>1=적용</t>
  </si>
  <si>
    <t>세종 안정화 · 자정 마감 익일 도착</t>
  </si>
  <si>
    <t>정책</t>
  </si>
  <si>
    <t>무료배송 임계</t>
  </si>
  <si>
    <t>원</t>
  </si>
  <si>
    <t>무료배송 기준 인하</t>
  </si>
  <si>
    <t>회원 확대 (간편가입)</t>
  </si>
  <si>
    <t>SNS · 이메일 간편가입, 본인인증 이탈 해소</t>
  </si>
  <si>
    <t>B. 레버 효과 — 레버를 켰을 때 무엇이 얼마나 바뀌는가 (공통)</t>
  </si>
  <si>
    <t>항목</t>
  </si>
  <si>
    <t>값</t>
  </si>
  <si>
    <t>설명</t>
  </si>
  <si>
    <t>익일배송 → 잔존율 상승</t>
  </si>
  <si>
    <t>%p</t>
  </si>
  <si>
    <t>11.1% → 13.0%. 서서히 (물류 효과 도달 개월수에 걸쳐)</t>
  </si>
  <si>
    <t>목표</t>
  </si>
  <si>
    <t>익일배송 → 구매빈도 상승</t>
  </si>
  <si>
    <t>%</t>
  </si>
  <si>
    <t>1.289 → 1.547건. 서서히</t>
  </si>
  <si>
    <t>익일배송 → 가입 감쇠 완화</t>
  </si>
  <si>
    <t>%p/월</t>
  </si>
  <si>
    <t>-0.5% → -0.3%/월. 서서히</t>
  </si>
  <si>
    <t>추정</t>
  </si>
  <si>
    <t>무배 인하 → 즉시 주문 증가율 (1차)</t>
  </si>
  <si>
    <t>인하 시점에 한 번에. 8월 분포 기준 +8.6%, 올라붙는 모수 확대 반영 시 +24.3%</t>
  </si>
  <si>
    <t>무배 인하 → 인하 후 객단가 (1차)</t>
  </si>
  <si>
    <t>인하 시점에 한 번에. +8.6%일 때 29,800원, +24.3%일 때 29,400원</t>
  </si>
  <si>
    <t>무배 인하 → 잔존율 추가 상승 (2차)</t>
  </si>
  <si>
    <t>13.0% → 15.0%. 서서히</t>
  </si>
  <si>
    <t>무배 인하 → 가입 감쇠 추가 완화 (2차)</t>
  </si>
  <si>
    <t>-0.3% → -0.1%/월. 서서히</t>
  </si>
  <si>
    <t>회원 확대 → 월 가입 증가</t>
  </si>
  <si>
    <t>본인인증 이탈(26.5%)을 전부 회수하면 최대 +36%</t>
  </si>
  <si>
    <t>C. 불확실성 — 고객 반응을 모르는 부분 (공통, 값을 흔들어 민감도 확인)</t>
  </si>
  <si>
    <t>기존 고객 반응도</t>
  </si>
  <si>
    <t>잔존율 상승이 2026년 이전 고객에게 적용되는 비율</t>
  </si>
  <si>
    <t>미측정</t>
  </si>
  <si>
    <t>간편가입자 첫구매 전환율 (기존 대비)</t>
  </si>
  <si>
    <t>100% = 기존 가입자와 같은 비율로 첫구매</t>
  </si>
  <si>
    <t>D. 기준값 — 확인된 사실과 시점 (공통)</t>
  </si>
  <si>
    <t>세종 안정화 월차</t>
  </si>
  <si>
    <t>월차</t>
  </si>
  <si>
    <t>6 = 2027년 6월. 익일배송 효과 시작</t>
  </si>
  <si>
    <t>계획</t>
  </si>
  <si>
    <t>무배 인하 월차</t>
  </si>
  <si>
    <t>12 = 2027년 12월</t>
  </si>
  <si>
    <t>물류 효과 도달 개월수</t>
  </si>
  <si>
    <t>개월</t>
  </si>
  <si>
    <t>시작 월부터 목표치까지 선형 도달</t>
  </si>
  <si>
    <t>간편가입 오픈 월차</t>
  </si>
  <si>
    <t>5 = 2027년 5월</t>
  </si>
  <si>
    <t>회원 확대 도달 개월수</t>
  </si>
  <si>
    <t>가입 증가가 목표치에 이르는 기간</t>
  </si>
  <si>
    <t>2026.12 누적 구매고객</t>
  </si>
  <si>
    <t>만명</t>
  </si>
  <si>
    <t>2026-08 실측 358.5만 + 9~12월 신규</t>
  </si>
  <si>
    <t>실측+추정</t>
  </si>
  <si>
    <t>2026.12 회원수</t>
  </si>
  <si>
    <t>2026-08 926만 + 4개월 가입</t>
  </si>
  <si>
    <t>월 가입 시작값</t>
  </si>
  <si>
    <t>만명/월</t>
  </si>
  <si>
    <t>에어브릿지 가입 이벤트 (앱+웹, 중복 가능)</t>
  </si>
  <si>
    <t>실측</t>
  </si>
  <si>
    <t>첫구매 전환율</t>
  </si>
  <si>
    <t>월 가입 24만 → 신규 구매 12만</t>
  </si>
  <si>
    <t>기본 가입 증감률</t>
  </si>
  <si>
    <t>%/월</t>
  </si>
  <si>
    <t>신규 25개월 횡보 후 완만한 감쇠 가정</t>
  </si>
  <si>
    <t>기본 잔존율</t>
  </si>
  <si>
    <t>33개 코호트 M4~M12 안정화 구간</t>
  </si>
  <si>
    <t>기본 구매빈도</t>
  </si>
  <si>
    <t>건/월</t>
  </si>
  <si>
    <t>주문/구매고객, 33개월 고정</t>
  </si>
  <si>
    <t>기본 객단가</t>
  </si>
  <si>
    <t>택배 2026년 1~8월</t>
  </si>
  <si>
    <t>택배 외 채널 비중</t>
  </si>
  <si>
    <t>픽업·대량·오늘배송</t>
  </si>
  <si>
    <t>매출 보정계수</t>
  </si>
  <si>
    <t>배</t>
  </si>
  <si>
    <t>S1 2027년을 사업계획 3,100억에 맞춤</t>
  </si>
  <si>
    <t>보정</t>
  </si>
  <si>
    <t>2026년 매출</t>
  </si>
  <si>
    <t>억원</t>
  </si>
  <si>
    <t>성장률 계산용</t>
  </si>
  <si>
    <t>예상</t>
  </si>
  <si>
    <t>계산 순서</t>
  </si>
  <si>
    <t>① 진행도 = 레버 × (현재 월차 − 시작 월차 + 1) ÷ 도달 개월수   (0~1, 서서히 오르는 효과)</t>
  </si>
  <si>
    <t>② 무배 적용 = 무배 인하 월차부터 1 (한 번에 붙는 1차 효과: 즉시 주문 증가, 객단가 하락)</t>
  </si>
  <si>
    <t>③ 월 가입 = 기본 가입 추세 × (1 + 회원확대 진행도 × 가입 증가)   /   신규 구매 = 기본 추세 × 전환율 × (1 + 회원확대 진행도 × 가입 증가 × 간편가입자 전환율)</t>
  </si>
  <si>
    <t>④ 잔존율(신규 코호트) = 기본 + 익일 진행도×상승 + 무배 진행도×상승  /  기존 고객 = 기본 + 반응도×(신규 코호트 − 기본)</t>
  </si>
  <si>
    <t>⑤ 활동 구매고객 = 당월 신규 + 2026년 이전 고객 × 기존 잔존율 + 2027년 이후 누적 × 신규 코호트 잔존율</t>
  </si>
  <si>
    <t>⑥ 구매빈도 = 기본 × (1 + 익일 진행도 × 상승) × (1 + 무배 적용 × 즉시 주문 증가율)</t>
  </si>
  <si>
    <t>⑦ 총매출 = 활동 구매고객 × 구매빈도 × 객단가 ÷ (1 − 택배 외 비중) × 보정계수</t>
  </si>
  <si>
    <t>레버 값은 가정 시트 A에서, 나머지는 B~D에서 가져옵니다. 이 시트는 수정하지 마십시오.</t>
  </si>
  <si>
    <t>연도</t>
  </si>
  <si>
    <t>월</t>
  </si>
  <si>
    <t>익일
진행도</t>
  </si>
  <si>
    <t>무배
진행도</t>
  </si>
  <si>
    <t>무배
적용</t>
  </si>
  <si>
    <t>회원확대
진행도</t>
  </si>
  <si>
    <t>가입
증감률</t>
  </si>
  <si>
    <t>기본 가입
추세 (만명)</t>
  </si>
  <si>
    <t>월 가입
(만명)</t>
  </si>
  <si>
    <t>신규 구매고객
(만명)</t>
  </si>
  <si>
    <t>잔존율
신규 코호트</t>
  </si>
  <si>
    <t>잔존율
기존 고객</t>
  </si>
  <si>
    <t>2027~ 누적
(월초, 만명)</t>
  </si>
  <si>
    <t>활동 구매고객
(만명)</t>
  </si>
  <si>
    <t>익일 효과
빈도</t>
  </si>
  <si>
    <t>즉시 주문
배수</t>
  </si>
  <si>
    <t>구매빈도
(건/월)</t>
  </si>
  <si>
    <t>구매건수
(만건)</t>
  </si>
  <si>
    <t>객단가
(원)</t>
  </si>
  <si>
    <t>택배매출
(억원)</t>
  </si>
  <si>
    <t>총매출
(억원)</t>
  </si>
  <si>
    <t>누적 구매고객
(만명)</t>
  </si>
  <si>
    <t>미전환 회원
(만명)</t>
  </si>
  <si>
    <t>회원수
(만명)</t>
  </si>
  <si>
    <t>활동×익일빈도
(보조)</t>
  </si>
  <si>
    <t>S2 익일배송</t>
  </si>
  <si>
    <t>S3 익일배송 + 무배 2.5만</t>
  </si>
  <si>
    <t>S4 익일 + 무배 + 회원 확대</t>
  </si>
  <si>
    <t>시나리오 비교 — 연도별 주요 지표</t>
  </si>
  <si>
    <t>모든 값은 가정 시트에 따라 자동 계산됩니다.</t>
  </si>
  <si>
    <t>연간 총매출 (억원)</t>
  </si>
  <si>
    <t>2027</t>
  </si>
  <si>
    <t>2028</t>
  </si>
  <si>
    <t>2029</t>
  </si>
  <si>
    <t>2030</t>
  </si>
  <si>
    <t>2031</t>
  </si>
  <si>
    <t>전년 대비 성장률</t>
  </si>
  <si>
    <t>연간 구매건수 (만건)</t>
  </si>
  <si>
    <t>12월 월 가입 (만명/월)</t>
  </si>
  <si>
    <t>12월 신규 구매고객 (만명/월)</t>
  </si>
  <si>
    <t>연말 회원수 (만명)</t>
  </si>
  <si>
    <t>연말 누적 구매고객 (만명)</t>
  </si>
  <si>
    <t>12월 활동 구매고객 (만명)</t>
  </si>
  <si>
    <t>12월 잔존율 — 신규 코호트</t>
  </si>
  <si>
    <t>12월 잔존율 — 기존 고객</t>
  </si>
  <si>
    <t>12월 구매빈도 (건/월)</t>
  </si>
  <si>
    <t>12월 객단가 (원)</t>
  </si>
  <si>
    <t>시나리오 간 매출 차이 분해 — 어느 레버가 얼마를 만드는가</t>
  </si>
  <si>
    <t>매출 = 활동 구매고객 × 익일 효과 빈도 × 즉시 주문 배수 × 객단가 로 분해 (로그 평균 분해, 합계가 실제 차이와 일치)</t>
  </si>
  <si>
    <t>S1 → S2 : 익일배송의 효과 (억원)</t>
  </si>
  <si>
    <t>S1 매출</t>
  </si>
  <si>
    <t xml:space="preserve">  + 활동 고객 효과 (가입·신규·잔존율)</t>
  </si>
  <si>
    <t xml:space="preserve">  + 구매빈도 효과 (익일)</t>
  </si>
  <si>
    <t xml:space="preserve">  + 무배 즉시 주문 효과</t>
  </si>
  <si>
    <t xml:space="preserve">  + 객단가 효과</t>
  </si>
  <si>
    <t>→ S2 매출</t>
  </si>
  <si>
    <t xml:space="preserve">  검산 (분해 합계 − 실제 차이)</t>
  </si>
  <si>
    <t>S2 → S3 : 무료배송 인하의 추가 효과 (억원)</t>
  </si>
  <si>
    <t>S2 매출</t>
  </si>
  <si>
    <t>→ S3 매출</t>
  </si>
  <si>
    <t>S3 → S4 : 회원 확대의 추가 효과 (억원)</t>
  </si>
  <si>
    <t>S3 매출</t>
  </si>
  <si>
    <t>→ S4 매출</t>
  </si>
  <si>
    <t>S1 → S4 : 전체 효과 (억원)</t>
  </si>
  <si>
    <t>계산 보조 — 시나리오별 연간 집계</t>
  </si>
  <si>
    <t>S1 · 활동 고객-월 합</t>
  </si>
  <si>
    <t>S1 · 익일 효과 빈도</t>
  </si>
  <si>
    <t>S1 · 즉시 주문 배수</t>
  </si>
  <si>
    <t>S1 · 객단가</t>
  </si>
  <si>
    <t>S1 · 총매출</t>
  </si>
  <si>
    <t>S2 · 활동 고객-월 합</t>
  </si>
  <si>
    <t>S2 · 익일 효과 빈도</t>
  </si>
  <si>
    <t>S2 · 즉시 주문 배수</t>
  </si>
  <si>
    <t>S2 · 객단가</t>
  </si>
  <si>
    <t>S2 · 총매출</t>
  </si>
  <si>
    <t>S3 · 활동 고객-월 합</t>
  </si>
  <si>
    <t>S3 · 익일 효과 빈도</t>
  </si>
  <si>
    <t>S3 · 즉시 주문 배수</t>
  </si>
  <si>
    <t>S3 · 객단가</t>
  </si>
  <si>
    <t>S3 · 총매출</t>
  </si>
  <si>
    <t>S4 · 활동 고객-월 합</t>
  </si>
  <si>
    <t>S4 · 익일 효과 빈도</t>
  </si>
  <si>
    <t>S4 · 즉시 주문 배수</t>
  </si>
  <si>
    <t>S4 · 객단가</t>
  </si>
  <si>
    <t>S4 · 총매출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</si>
</sst>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%"/>
    <numFmt numFmtId="177" formatCode="0.0"/>
    <numFmt numFmtId="178" formatCode="0.000"/>
    <numFmt numFmtId="179" formatCode="#,##0.0"/>
    <numFmt numFmtId="180" formatCode="#,##0.000"/>
    <numFmt numFmtId="181" formatCode="#,##0;\-#,##0;\-"/>
  </numFmts>
  <fonts count="10" x14ac:knownFonts="1">
    <font>
      <sz val="11"/>
      <color theme="1"/>
      <name val="맑은 고딕"/>
      <family val="2"/>
      <scheme val="minor"/>
    </font>
    <font>
      <b/>
      <sz val="13"/>
      <name val="Arial"/>
      <family val="2"/>
    </font>
    <font>
      <sz val="9"/>
      <color rgb="FF80808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sz val="9"/>
      <color rgb="FF404040"/>
      <name val="Arial"/>
      <family val="2"/>
    </font>
    <font>
      <sz val="10"/>
      <color rgb="FF008000"/>
      <name val="Arial"/>
      <family val="2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7ECF2"/>
      </patternFill>
    </fill>
    <fill>
      <patternFill patternType="solid">
        <fgColor rgb="FF1B2A4A"/>
      </patternFill>
    </fill>
    <fill>
      <patternFill patternType="solid">
        <fgColor rgb="FFFFFFCC"/>
      </patternFill>
    </fill>
    <fill>
      <patternFill patternType="solid">
        <fgColor rgb="FFD8ECE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1" fontId="6" fillId="4" borderId="1" xfId="0" applyNumberFormat="1" applyFont="1" applyFill="1" applyBorder="1" applyAlignment="1">
      <alignment horizontal="right"/>
    </xf>
    <xf numFmtId="3" fontId="6" fillId="4" borderId="1" xfId="0" applyNumberFormat="1" applyFont="1" applyFill="1" applyBorder="1" applyAlignment="1">
      <alignment horizontal="right"/>
    </xf>
    <xf numFmtId="176" fontId="6" fillId="4" borderId="1" xfId="0" applyNumberFormat="1" applyFont="1" applyFill="1" applyBorder="1" applyAlignment="1">
      <alignment horizontal="right"/>
    </xf>
    <xf numFmtId="0" fontId="2" fillId="0" borderId="1" xfId="0" applyFont="1" applyBorder="1"/>
    <xf numFmtId="9" fontId="6" fillId="4" borderId="1" xfId="0" applyNumberFormat="1" applyFont="1" applyFill="1" applyBorder="1" applyAlignment="1">
      <alignment horizontal="right"/>
    </xf>
    <xf numFmtId="177" fontId="6" fillId="4" borderId="1" xfId="0" applyNumberFormat="1" applyFont="1" applyFill="1" applyBorder="1" applyAlignment="1">
      <alignment horizontal="right"/>
    </xf>
    <xf numFmtId="178" fontId="6" fillId="4" borderId="1" xfId="0" applyNumberFormat="1" applyFont="1" applyFill="1" applyBorder="1" applyAlignment="1">
      <alignment horizontal="right"/>
    </xf>
    <xf numFmtId="0" fontId="3" fillId="0" borderId="0" xfId="0" applyFont="1"/>
    <xf numFmtId="0" fontId="7" fillId="0" borderId="0" xfId="0" applyFont="1"/>
    <xf numFmtId="1" fontId="5" fillId="0" borderId="1" xfId="0" applyNumberFormat="1" applyFont="1" applyBorder="1"/>
    <xf numFmtId="2" fontId="5" fillId="0" borderId="1" xfId="0" applyNumberFormat="1" applyFont="1" applyBorder="1"/>
    <xf numFmtId="10" fontId="5" fillId="0" borderId="1" xfId="0" applyNumberFormat="1" applyFont="1" applyBorder="1"/>
    <xf numFmtId="3" fontId="5" fillId="0" borderId="1" xfId="0" applyNumberFormat="1" applyFont="1" applyBorder="1"/>
    <xf numFmtId="179" fontId="5" fillId="0" borderId="1" xfId="0" applyNumberFormat="1" applyFont="1" applyBorder="1"/>
    <xf numFmtId="178" fontId="5" fillId="0" borderId="1" xfId="0" applyNumberFormat="1" applyFont="1" applyBorder="1"/>
    <xf numFmtId="1" fontId="5" fillId="5" borderId="1" xfId="0" applyNumberFormat="1" applyFont="1" applyFill="1" applyBorder="1"/>
    <xf numFmtId="2" fontId="5" fillId="5" borderId="1" xfId="0" applyNumberFormat="1" applyFont="1" applyFill="1" applyBorder="1"/>
    <xf numFmtId="10" fontId="5" fillId="5" borderId="1" xfId="0" applyNumberFormat="1" applyFont="1" applyFill="1" applyBorder="1"/>
    <xf numFmtId="3" fontId="5" fillId="5" borderId="1" xfId="0" applyNumberFormat="1" applyFont="1" applyFill="1" applyBorder="1"/>
    <xf numFmtId="179" fontId="5" fillId="5" borderId="1" xfId="0" applyNumberFormat="1" applyFont="1" applyFill="1" applyBorder="1"/>
    <xf numFmtId="178" fontId="5" fillId="5" borderId="1" xfId="0" applyNumberFormat="1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3" fontId="8" fillId="0" borderId="1" xfId="0" applyNumberFormat="1" applyFont="1" applyBorder="1"/>
    <xf numFmtId="176" fontId="8" fillId="0" borderId="1" xfId="0" applyNumberFormat="1" applyFont="1" applyBorder="1"/>
    <xf numFmtId="177" fontId="8" fillId="0" borderId="1" xfId="0" applyNumberFormat="1" applyFont="1" applyBorder="1"/>
    <xf numFmtId="179" fontId="8" fillId="0" borderId="1" xfId="0" applyNumberFormat="1" applyFont="1" applyBorder="1"/>
    <xf numFmtId="178" fontId="8" fillId="0" borderId="1" xfId="0" applyNumberFormat="1" applyFont="1" applyBorder="1"/>
    <xf numFmtId="0" fontId="3" fillId="0" borderId="1" xfId="0" applyFont="1" applyBorder="1"/>
    <xf numFmtId="181" fontId="3" fillId="5" borderId="1" xfId="0" applyNumberFormat="1" applyFont="1" applyFill="1" applyBorder="1"/>
    <xf numFmtId="181" fontId="8" fillId="0" borderId="1" xfId="0" applyNumberFormat="1" applyFont="1" applyBorder="1"/>
    <xf numFmtId="177" fontId="2" fillId="0" borderId="1" xfId="0" applyNumberFormat="1" applyFont="1" applyBorder="1"/>
    <xf numFmtId="3" fontId="2" fillId="0" borderId="0" xfId="0" applyNumberFormat="1" applyFont="1"/>
    <xf numFmtId="180" fontId="2" fillId="0" borderId="0" xfId="0" applyNumberFormat="1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시나리오별 연간 총매출 </a:t>
            </a:r>
            <a:r>
              <a:rPr lang="en-US" altLang="ko-KR"/>
              <a:t>(</a:t>
            </a:r>
            <a:r>
              <a:rPr lang="ko-KR" altLang="en-US"/>
              <a:t>억원</a:t>
            </a:r>
            <a:r>
              <a:rPr lang="en-US" altLang="ko-KR"/>
              <a:t>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요약!$A$5</c:f>
              <c:strCache>
                <c:ptCount val="1"/>
                <c:pt idx="0">
                  <c:v>S1 현재 기준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요약!$B$4:$F$4</c:f>
              <c:strCach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strCache>
            </c:strRef>
          </c:cat>
          <c:val>
            <c:numRef>
              <c:f>요약!$B$5:$F$5</c:f>
              <c:numCache>
                <c:formatCode>#,##0</c:formatCode>
                <c:ptCount val="5"/>
                <c:pt idx="0">
                  <c:v>3152.5968751061823</c:v>
                </c:pt>
                <c:pt idx="1">
                  <c:v>3776.958896383996</c:v>
                </c:pt>
                <c:pt idx="2">
                  <c:v>4364.872415390344</c:v>
                </c:pt>
                <c:pt idx="3">
                  <c:v>4918.4651933800096</c:v>
                </c:pt>
                <c:pt idx="4">
                  <c:v>5439.7407788781647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604-4382-B4C6-3F231CA78750}"/>
            </c:ext>
          </c:extLst>
        </c:ser>
        <c:ser>
          <c:idx val="1"/>
          <c:order val="1"/>
          <c:tx>
            <c:strRef>
              <c:f>요약!$A$6</c:f>
              <c:strCache>
                <c:ptCount val="1"/>
                <c:pt idx="0">
                  <c:v>S2 익일배송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요약!$B$4:$F$4</c:f>
              <c:strCach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strCache>
            </c:strRef>
          </c:cat>
          <c:val>
            <c:numRef>
              <c:f>요약!$B$6:$F$6</c:f>
              <c:numCache>
                <c:formatCode>#,##0</c:formatCode>
                <c:ptCount val="5"/>
                <c:pt idx="0">
                  <c:v>3209.4047432989246</c:v>
                </c:pt>
                <c:pt idx="1">
                  <c:v>4166.3160110258686</c:v>
                </c:pt>
                <c:pt idx="2">
                  <c:v>5243.1465278308006</c:v>
                </c:pt>
                <c:pt idx="3">
                  <c:v>6427.6233561773115</c:v>
                </c:pt>
                <c:pt idx="4">
                  <c:v>7607.9691188724928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604-4382-B4C6-3F231CA78750}"/>
            </c:ext>
          </c:extLst>
        </c:ser>
        <c:ser>
          <c:idx val="2"/>
          <c:order val="2"/>
          <c:tx>
            <c:strRef>
              <c:f>요약!$A$7</c:f>
              <c:strCache>
                <c:ptCount val="1"/>
                <c:pt idx="0">
                  <c:v>S3 익일배송 + 무배 2.5만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요약!$B$4:$F$4</c:f>
              <c:strCach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strCache>
            </c:strRef>
          </c:cat>
          <c:val>
            <c:numRef>
              <c:f>요약!$B$7:$F$7</c:f>
              <c:numCache>
                <c:formatCode>#,##0</c:formatCode>
                <c:ptCount val="5"/>
                <c:pt idx="0">
                  <c:v>3256.8348821841155</c:v>
                </c:pt>
                <c:pt idx="1">
                  <c:v>4406.5966357546622</c:v>
                </c:pt>
                <c:pt idx="2">
                  <c:v>5751.840682875928</c:v>
                </c:pt>
                <c:pt idx="3">
                  <c:v>7303.9690058696278</c:v>
                </c:pt>
                <c:pt idx="4">
                  <c:v>8908.6182820096219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604-4382-B4C6-3F231CA78750}"/>
            </c:ext>
          </c:extLst>
        </c:ser>
        <c:ser>
          <c:idx val="3"/>
          <c:order val="3"/>
          <c:tx>
            <c:strRef>
              <c:f>요약!$A$8</c:f>
              <c:strCache>
                <c:ptCount val="1"/>
                <c:pt idx="0">
                  <c:v>S4 익일 + 무배 + 회원 확대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요약!$B$4:$F$4</c:f>
              <c:strCach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strCache>
            </c:strRef>
          </c:cat>
          <c:val>
            <c:numRef>
              <c:f>요약!$B$8:$F$8</c:f>
              <c:numCache>
                <c:formatCode>#,##0</c:formatCode>
                <c:ptCount val="5"/>
                <c:pt idx="0">
                  <c:v>3302.6114927012886</c:v>
                </c:pt>
                <c:pt idx="1">
                  <c:v>4690.5300307228845</c:v>
                </c:pt>
                <c:pt idx="2">
                  <c:v>6293.171829735722</c:v>
                </c:pt>
                <c:pt idx="3">
                  <c:v>8148.6258092257995</c:v>
                </c:pt>
                <c:pt idx="4">
                  <c:v>10089.719154401811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604-4382-B4C6-3F231CA78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72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showGridLines="0" tabSelected="1" workbookViewId="0">
      <selection activeCell="C38" sqref="C38"/>
    </sheetView>
  </sheetViews>
  <sheetFormatPr defaultRowHeight="16.5" x14ac:dyDescent="0.3"/>
  <cols>
    <col min="1" max="1" width="38" customWidth="1"/>
    <col min="2" max="2" width="9" customWidth="1"/>
    <col min="3" max="3" width="13" customWidth="1"/>
    <col min="4" max="4" width="11" customWidth="1"/>
    <col min="5" max="6" width="13" customWidth="1"/>
    <col min="7" max="7" width="62" customWidth="1"/>
    <col min="8" max="8" width="10" customWidth="1"/>
  </cols>
  <sheetData>
    <row r="1" spans="1:8" ht="17.25" x14ac:dyDescent="0.3">
      <c r="A1" s="1" t="s">
        <v>0</v>
      </c>
    </row>
    <row r="2" spans="1:8" x14ac:dyDescent="0.3">
      <c r="A2" s="2" t="s">
        <v>1</v>
      </c>
    </row>
    <row r="4" spans="1:8" x14ac:dyDescent="0.3">
      <c r="A4" s="3" t="s">
        <v>2</v>
      </c>
      <c r="B4" s="4"/>
      <c r="C4" s="4"/>
      <c r="D4" s="4"/>
      <c r="E4" s="4"/>
      <c r="F4" s="4"/>
      <c r="G4" s="4"/>
      <c r="H4" s="4"/>
    </row>
    <row r="5" spans="1:8" x14ac:dyDescent="0.3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</row>
    <row r="6" spans="1:8" x14ac:dyDescent="0.3">
      <c r="A6" s="6" t="s">
        <v>11</v>
      </c>
      <c r="B6" s="6" t="s">
        <v>12</v>
      </c>
      <c r="C6" s="7">
        <v>0</v>
      </c>
      <c r="D6" s="7">
        <v>1</v>
      </c>
      <c r="E6" s="7">
        <v>1</v>
      </c>
      <c r="F6" s="7">
        <v>1</v>
      </c>
      <c r="G6" s="6" t="s">
        <v>13</v>
      </c>
      <c r="H6" s="6" t="s">
        <v>14</v>
      </c>
    </row>
    <row r="7" spans="1:8" x14ac:dyDescent="0.3">
      <c r="A7" s="6" t="s">
        <v>15</v>
      </c>
      <c r="B7" s="6" t="s">
        <v>16</v>
      </c>
      <c r="C7" s="8">
        <v>30000</v>
      </c>
      <c r="D7" s="8">
        <v>30000</v>
      </c>
      <c r="E7" s="8">
        <v>25000</v>
      </c>
      <c r="F7" s="8">
        <v>25000</v>
      </c>
      <c r="G7" s="6" t="s">
        <v>17</v>
      </c>
      <c r="H7" s="6" t="s">
        <v>14</v>
      </c>
    </row>
    <row r="8" spans="1:8" x14ac:dyDescent="0.3">
      <c r="A8" s="6" t="s">
        <v>18</v>
      </c>
      <c r="B8" s="6" t="s">
        <v>12</v>
      </c>
      <c r="C8" s="7">
        <v>0</v>
      </c>
      <c r="D8" s="7">
        <v>0</v>
      </c>
      <c r="E8" s="7">
        <v>0</v>
      </c>
      <c r="F8" s="7">
        <v>1</v>
      </c>
      <c r="G8" s="6" t="s">
        <v>19</v>
      </c>
      <c r="H8" s="6" t="s">
        <v>14</v>
      </c>
    </row>
    <row r="10" spans="1:8" x14ac:dyDescent="0.3">
      <c r="A10" s="3" t="s">
        <v>20</v>
      </c>
      <c r="B10" s="4"/>
      <c r="C10" s="4"/>
      <c r="D10" s="4"/>
      <c r="E10" s="4"/>
      <c r="F10" s="4"/>
      <c r="G10" s="4"/>
      <c r="H10" s="4"/>
    </row>
    <row r="11" spans="1:8" x14ac:dyDescent="0.3">
      <c r="A11" s="5" t="s">
        <v>21</v>
      </c>
      <c r="B11" s="5" t="s">
        <v>4</v>
      </c>
      <c r="C11" s="5" t="s">
        <v>22</v>
      </c>
      <c r="D11" s="5"/>
      <c r="E11" s="5"/>
      <c r="F11" s="5"/>
      <c r="G11" s="5" t="s">
        <v>23</v>
      </c>
      <c r="H11" s="5" t="s">
        <v>10</v>
      </c>
    </row>
    <row r="12" spans="1:8" x14ac:dyDescent="0.3">
      <c r="A12" s="6" t="s">
        <v>24</v>
      </c>
      <c r="B12" s="6" t="s">
        <v>25</v>
      </c>
      <c r="C12" s="9">
        <v>1.9E-2</v>
      </c>
      <c r="G12" s="10" t="s">
        <v>26</v>
      </c>
      <c r="H12" s="6" t="s">
        <v>27</v>
      </c>
    </row>
    <row r="13" spans="1:8" x14ac:dyDescent="0.3">
      <c r="A13" s="6" t="s">
        <v>28</v>
      </c>
      <c r="B13" s="6" t="s">
        <v>29</v>
      </c>
      <c r="C13" s="11">
        <v>0.2</v>
      </c>
      <c r="G13" s="10" t="s">
        <v>30</v>
      </c>
      <c r="H13" s="6" t="s">
        <v>27</v>
      </c>
    </row>
    <row r="14" spans="1:8" x14ac:dyDescent="0.3">
      <c r="A14" s="6" t="s">
        <v>31</v>
      </c>
      <c r="B14" s="6" t="s">
        <v>32</v>
      </c>
      <c r="C14" s="9">
        <v>2E-3</v>
      </c>
      <c r="G14" s="10" t="s">
        <v>33</v>
      </c>
      <c r="H14" s="6" t="s">
        <v>34</v>
      </c>
    </row>
    <row r="15" spans="1:8" x14ac:dyDescent="0.3">
      <c r="A15" s="6" t="s">
        <v>35</v>
      </c>
      <c r="B15" s="6" t="s">
        <v>29</v>
      </c>
      <c r="C15" s="9">
        <v>8.5999999999999993E-2</v>
      </c>
      <c r="G15" s="10" t="s">
        <v>36</v>
      </c>
      <c r="H15" s="6" t="s">
        <v>34</v>
      </c>
    </row>
    <row r="16" spans="1:8" x14ac:dyDescent="0.3">
      <c r="A16" s="6" t="s">
        <v>37</v>
      </c>
      <c r="B16" s="6" t="s">
        <v>16</v>
      </c>
      <c r="C16" s="8">
        <v>29800</v>
      </c>
      <c r="G16" s="10" t="s">
        <v>38</v>
      </c>
      <c r="H16" s="6" t="s">
        <v>34</v>
      </c>
    </row>
    <row r="17" spans="1:8" x14ac:dyDescent="0.3">
      <c r="A17" s="6" t="s">
        <v>39</v>
      </c>
      <c r="B17" s="6" t="s">
        <v>25</v>
      </c>
      <c r="C17" s="9">
        <v>0.02</v>
      </c>
      <c r="G17" s="10" t="s">
        <v>40</v>
      </c>
      <c r="H17" s="6" t="s">
        <v>27</v>
      </c>
    </row>
    <row r="18" spans="1:8" x14ac:dyDescent="0.3">
      <c r="A18" s="6" t="s">
        <v>41</v>
      </c>
      <c r="B18" s="6" t="s">
        <v>32</v>
      </c>
      <c r="C18" s="9">
        <v>2E-3</v>
      </c>
      <c r="G18" s="10" t="s">
        <v>42</v>
      </c>
      <c r="H18" s="6" t="s">
        <v>34</v>
      </c>
    </row>
    <row r="19" spans="1:8" x14ac:dyDescent="0.3">
      <c r="A19" s="6" t="s">
        <v>43</v>
      </c>
      <c r="B19" s="6" t="s">
        <v>29</v>
      </c>
      <c r="C19" s="11">
        <v>0.28000000000000003</v>
      </c>
      <c r="G19" s="10" t="s">
        <v>44</v>
      </c>
      <c r="H19" s="6" t="s">
        <v>27</v>
      </c>
    </row>
    <row r="21" spans="1:8" x14ac:dyDescent="0.3">
      <c r="A21" s="3" t="s">
        <v>45</v>
      </c>
      <c r="B21" s="4"/>
      <c r="C21" s="4"/>
      <c r="D21" s="4"/>
      <c r="E21" s="4"/>
      <c r="F21" s="4"/>
      <c r="G21" s="4"/>
      <c r="H21" s="4"/>
    </row>
    <row r="22" spans="1:8" x14ac:dyDescent="0.3">
      <c r="A22" s="5" t="s">
        <v>21</v>
      </c>
      <c r="B22" s="5" t="s">
        <v>4</v>
      </c>
      <c r="C22" s="5" t="s">
        <v>22</v>
      </c>
      <c r="D22" s="5"/>
      <c r="E22" s="5"/>
      <c r="F22" s="5"/>
      <c r="G22" s="5" t="s">
        <v>23</v>
      </c>
      <c r="H22" s="5" t="s">
        <v>10</v>
      </c>
    </row>
    <row r="23" spans="1:8" x14ac:dyDescent="0.3">
      <c r="A23" s="6" t="s">
        <v>46</v>
      </c>
      <c r="B23" s="6" t="s">
        <v>29</v>
      </c>
      <c r="C23" s="11">
        <v>1</v>
      </c>
      <c r="G23" s="10" t="s">
        <v>47</v>
      </c>
      <c r="H23" s="6" t="s">
        <v>48</v>
      </c>
    </row>
    <row r="24" spans="1:8" x14ac:dyDescent="0.3">
      <c r="A24" s="6" t="s">
        <v>49</v>
      </c>
      <c r="B24" s="6" t="s">
        <v>29</v>
      </c>
      <c r="C24" s="11">
        <v>1</v>
      </c>
      <c r="G24" s="10" t="s">
        <v>50</v>
      </c>
      <c r="H24" s="6" t="s">
        <v>48</v>
      </c>
    </row>
    <row r="26" spans="1:8" x14ac:dyDescent="0.3">
      <c r="A26" s="3" t="s">
        <v>51</v>
      </c>
      <c r="B26" s="4"/>
      <c r="C26" s="4"/>
      <c r="D26" s="4"/>
      <c r="E26" s="4"/>
      <c r="F26" s="4"/>
      <c r="G26" s="4"/>
      <c r="H26" s="4"/>
    </row>
    <row r="27" spans="1:8" x14ac:dyDescent="0.3">
      <c r="A27" s="5" t="s">
        <v>21</v>
      </c>
      <c r="B27" s="5" t="s">
        <v>4</v>
      </c>
      <c r="C27" s="5" t="s">
        <v>22</v>
      </c>
      <c r="D27" s="5"/>
      <c r="E27" s="5"/>
      <c r="F27" s="5"/>
      <c r="G27" s="5" t="s">
        <v>23</v>
      </c>
      <c r="H27" s="5" t="s">
        <v>10</v>
      </c>
    </row>
    <row r="28" spans="1:8" x14ac:dyDescent="0.3">
      <c r="A28" s="6" t="s">
        <v>52</v>
      </c>
      <c r="B28" s="6" t="s">
        <v>53</v>
      </c>
      <c r="C28" s="7">
        <v>6</v>
      </c>
      <c r="G28" s="10" t="s">
        <v>54</v>
      </c>
      <c r="H28" s="6" t="s">
        <v>55</v>
      </c>
    </row>
    <row r="29" spans="1:8" x14ac:dyDescent="0.3">
      <c r="A29" s="6" t="s">
        <v>56</v>
      </c>
      <c r="B29" s="6" t="s">
        <v>53</v>
      </c>
      <c r="C29" s="7">
        <v>7</v>
      </c>
      <c r="G29" s="10" t="s">
        <v>57</v>
      </c>
      <c r="H29" s="6" t="s">
        <v>55</v>
      </c>
    </row>
    <row r="30" spans="1:8" x14ac:dyDescent="0.3">
      <c r="A30" s="6" t="s">
        <v>58</v>
      </c>
      <c r="B30" s="6" t="s">
        <v>59</v>
      </c>
      <c r="C30" s="7">
        <v>48</v>
      </c>
      <c r="G30" s="10" t="s">
        <v>60</v>
      </c>
      <c r="H30" s="6" t="s">
        <v>34</v>
      </c>
    </row>
    <row r="31" spans="1:8" x14ac:dyDescent="0.3">
      <c r="A31" s="6" t="s">
        <v>61</v>
      </c>
      <c r="B31" s="6" t="s">
        <v>53</v>
      </c>
      <c r="C31" s="7">
        <v>5</v>
      </c>
      <c r="G31" s="10" t="s">
        <v>62</v>
      </c>
      <c r="H31" s="6" t="s">
        <v>55</v>
      </c>
    </row>
    <row r="32" spans="1:8" x14ac:dyDescent="0.3">
      <c r="A32" s="6" t="s">
        <v>63</v>
      </c>
      <c r="B32" s="6" t="s">
        <v>59</v>
      </c>
      <c r="C32" s="7">
        <v>12</v>
      </c>
      <c r="G32" s="10" t="s">
        <v>64</v>
      </c>
      <c r="H32" s="6" t="s">
        <v>34</v>
      </c>
    </row>
    <row r="33" spans="1:8" x14ac:dyDescent="0.3">
      <c r="A33" s="6" t="s">
        <v>65</v>
      </c>
      <c r="B33" s="6" t="s">
        <v>66</v>
      </c>
      <c r="C33" s="8">
        <v>406</v>
      </c>
      <c r="G33" s="10" t="s">
        <v>67</v>
      </c>
      <c r="H33" s="6" t="s">
        <v>68</v>
      </c>
    </row>
    <row r="34" spans="1:8" x14ac:dyDescent="0.3">
      <c r="A34" s="6" t="s">
        <v>69</v>
      </c>
      <c r="B34" s="6" t="s">
        <v>66</v>
      </c>
      <c r="C34" s="8">
        <v>1022</v>
      </c>
      <c r="G34" s="10" t="s">
        <v>70</v>
      </c>
      <c r="H34" s="6" t="s">
        <v>68</v>
      </c>
    </row>
    <row r="35" spans="1:8" x14ac:dyDescent="0.3">
      <c r="A35" s="6" t="s">
        <v>71</v>
      </c>
      <c r="B35" s="6" t="s">
        <v>72</v>
      </c>
      <c r="C35" s="12">
        <v>20</v>
      </c>
      <c r="G35" s="10" t="s">
        <v>73</v>
      </c>
      <c r="H35" s="6" t="s">
        <v>74</v>
      </c>
    </row>
    <row r="36" spans="1:8" x14ac:dyDescent="0.3">
      <c r="A36" s="6" t="s">
        <v>75</v>
      </c>
      <c r="B36" s="6" t="s">
        <v>29</v>
      </c>
      <c r="C36" s="11">
        <v>0.5</v>
      </c>
      <c r="G36" s="10" t="s">
        <v>76</v>
      </c>
      <c r="H36" s="6" t="s">
        <v>34</v>
      </c>
    </row>
    <row r="37" spans="1:8" x14ac:dyDescent="0.3">
      <c r="A37" s="6" t="s">
        <v>77</v>
      </c>
      <c r="B37" s="6" t="s">
        <v>78</v>
      </c>
      <c r="C37" s="9">
        <v>-5.0000000000000001E-3</v>
      </c>
      <c r="G37" s="10" t="s">
        <v>79</v>
      </c>
      <c r="H37" s="6" t="s">
        <v>34</v>
      </c>
    </row>
    <row r="38" spans="1:8" x14ac:dyDescent="0.3">
      <c r="A38" s="6" t="s">
        <v>80</v>
      </c>
      <c r="B38" s="6" t="s">
        <v>29</v>
      </c>
      <c r="C38" s="9">
        <v>0.111</v>
      </c>
      <c r="G38" s="10" t="s">
        <v>81</v>
      </c>
      <c r="H38" s="6" t="s">
        <v>74</v>
      </c>
    </row>
    <row r="39" spans="1:8" x14ac:dyDescent="0.3">
      <c r="A39" s="6" t="s">
        <v>82</v>
      </c>
      <c r="B39" s="6" t="s">
        <v>83</v>
      </c>
      <c r="C39" s="13">
        <v>1.2889999999999999</v>
      </c>
      <c r="G39" s="10" t="s">
        <v>84</v>
      </c>
      <c r="H39" s="6" t="s">
        <v>74</v>
      </c>
    </row>
    <row r="40" spans="1:8" x14ac:dyDescent="0.3">
      <c r="A40" s="6" t="s">
        <v>85</v>
      </c>
      <c r="B40" s="6" t="s">
        <v>16</v>
      </c>
      <c r="C40" s="8">
        <v>31846</v>
      </c>
      <c r="G40" s="10" t="s">
        <v>86</v>
      </c>
      <c r="H40" s="6" t="s">
        <v>74</v>
      </c>
    </row>
    <row r="41" spans="1:8" x14ac:dyDescent="0.3">
      <c r="A41" s="6" t="s">
        <v>87</v>
      </c>
      <c r="B41" s="6" t="s">
        <v>29</v>
      </c>
      <c r="C41" s="9">
        <v>0.05</v>
      </c>
      <c r="G41" s="10" t="s">
        <v>88</v>
      </c>
      <c r="H41" s="6" t="s">
        <v>74</v>
      </c>
    </row>
    <row r="42" spans="1:8" x14ac:dyDescent="0.3">
      <c r="A42" s="6" t="s">
        <v>89</v>
      </c>
      <c r="B42" s="6" t="s">
        <v>90</v>
      </c>
      <c r="C42" s="13">
        <v>1</v>
      </c>
      <c r="G42" s="10" t="s">
        <v>91</v>
      </c>
      <c r="H42" s="6" t="s">
        <v>92</v>
      </c>
    </row>
    <row r="43" spans="1:8" x14ac:dyDescent="0.3">
      <c r="A43" s="6" t="s">
        <v>93</v>
      </c>
      <c r="B43" s="6" t="s">
        <v>94</v>
      </c>
      <c r="C43" s="8">
        <v>2300</v>
      </c>
      <c r="G43" s="10" t="s">
        <v>95</v>
      </c>
      <c r="H43" s="6" t="s">
        <v>96</v>
      </c>
    </row>
    <row r="45" spans="1:8" x14ac:dyDescent="0.3">
      <c r="A45" s="14" t="s">
        <v>97</v>
      </c>
    </row>
    <row r="46" spans="1:8" x14ac:dyDescent="0.3">
      <c r="A46" s="15" t="s">
        <v>98</v>
      </c>
    </row>
    <row r="47" spans="1:8" x14ac:dyDescent="0.3">
      <c r="A47" s="15" t="s">
        <v>99</v>
      </c>
    </row>
    <row r="48" spans="1:8" x14ac:dyDescent="0.3">
      <c r="A48" s="15" t="s">
        <v>100</v>
      </c>
    </row>
    <row r="49" spans="1:1" x14ac:dyDescent="0.3">
      <c r="A49" s="15" t="s">
        <v>101</v>
      </c>
    </row>
    <row r="50" spans="1:1" x14ac:dyDescent="0.3">
      <c r="A50" s="15" t="s">
        <v>102</v>
      </c>
    </row>
    <row r="51" spans="1:1" x14ac:dyDescent="0.3">
      <c r="A51" s="15" t="s">
        <v>103</v>
      </c>
    </row>
    <row r="52" spans="1:1" x14ac:dyDescent="0.3">
      <c r="A52" s="15" t="s">
        <v>104</v>
      </c>
    </row>
  </sheetData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3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V15" sqref="V4:V15"/>
    </sheetView>
  </sheetViews>
  <sheetFormatPr defaultRowHeight="16.5" x14ac:dyDescent="0.3"/>
  <cols>
    <col min="1" max="1" width="6" customWidth="1"/>
    <col min="2" max="2" width="7" customWidth="1"/>
    <col min="3" max="3" width="5" customWidth="1"/>
    <col min="4" max="5" width="8" customWidth="1"/>
    <col min="6" max="6" width="7" customWidth="1"/>
    <col min="7" max="8" width="9" customWidth="1"/>
    <col min="9" max="9" width="11" customWidth="1"/>
    <col min="10" max="10" width="10" customWidth="1"/>
    <col min="11" max="11" width="12" customWidth="1"/>
    <col min="12" max="14" width="11" customWidth="1"/>
    <col min="15" max="15" width="12" customWidth="1"/>
    <col min="16" max="16" width="10" customWidth="1"/>
    <col min="17" max="17" width="9" customWidth="1"/>
    <col min="18" max="18" width="10" customWidth="1"/>
    <col min="19" max="19" width="11" customWidth="1"/>
    <col min="20" max="20" width="10" customWidth="1"/>
    <col min="21" max="22" width="11" customWidth="1"/>
    <col min="23" max="23" width="12" customWidth="1"/>
    <col min="24" max="25" width="11" customWidth="1"/>
    <col min="26" max="26" width="12" customWidth="1"/>
  </cols>
  <sheetData>
    <row r="1" spans="1:26" ht="17.25" x14ac:dyDescent="0.3">
      <c r="A1" s="1" t="s">
        <v>5</v>
      </c>
    </row>
    <row r="2" spans="1:26" x14ac:dyDescent="0.3">
      <c r="A2" s="2" t="s">
        <v>105</v>
      </c>
    </row>
    <row r="3" spans="1:26" ht="39.950000000000003" customHeight="1" x14ac:dyDescent="0.3">
      <c r="A3" s="5" t="s">
        <v>53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5" t="s">
        <v>113</v>
      </c>
      <c r="J3" s="5" t="s">
        <v>114</v>
      </c>
      <c r="K3" s="5" t="s">
        <v>115</v>
      </c>
      <c r="L3" s="5" t="s">
        <v>116</v>
      </c>
      <c r="M3" s="5" t="s">
        <v>117</v>
      </c>
      <c r="N3" s="5" t="s">
        <v>118</v>
      </c>
      <c r="O3" s="5" t="s">
        <v>119</v>
      </c>
      <c r="P3" s="5" t="s">
        <v>120</v>
      </c>
      <c r="Q3" s="5" t="s">
        <v>121</v>
      </c>
      <c r="R3" s="5" t="s">
        <v>122</v>
      </c>
      <c r="S3" s="5" t="s">
        <v>123</v>
      </c>
      <c r="T3" s="5" t="s">
        <v>124</v>
      </c>
      <c r="U3" s="5" t="s">
        <v>125</v>
      </c>
      <c r="V3" s="5" t="s">
        <v>126</v>
      </c>
      <c r="W3" s="5" t="s">
        <v>127</v>
      </c>
      <c r="X3" s="5" t="s">
        <v>128</v>
      </c>
      <c r="Y3" s="5" t="s">
        <v>129</v>
      </c>
      <c r="Z3" s="5" t="s">
        <v>130</v>
      </c>
    </row>
    <row r="4" spans="1:26" x14ac:dyDescent="0.3">
      <c r="A4" s="16">
        <v>1</v>
      </c>
      <c r="B4" s="16">
        <v>2027</v>
      </c>
      <c r="C4" s="16">
        <v>1</v>
      </c>
      <c r="D4" s="17">
        <f>가정!$C$6*MIN(1,MAX(0,(A4-가정!$C$28+1)/가정!$C$30))</f>
        <v>0</v>
      </c>
      <c r="E4" s="17">
        <f>IF(가정!$C$7&lt;30000,1,0)*MIN(1,MAX(0,(A4-가정!$C$29+1)/가정!$C$30))</f>
        <v>0</v>
      </c>
      <c r="F4" s="16">
        <f>IF(가정!$C$7&lt;30000,1,0)*IF(A4&gt;=가정!$C$29,1,0)</f>
        <v>0</v>
      </c>
      <c r="G4" s="17">
        <f>가정!$C$8*MIN(1,MAX(0,(A4-가정!$C$31+1)/가정!$C$32))</f>
        <v>0</v>
      </c>
      <c r="H4" s="18">
        <f>가정!$C$37+D4*가정!$C$14+E4*가정!$C$18</f>
        <v>-5.0000000000000001E-3</v>
      </c>
      <c r="I4" s="17">
        <f>가정!$C$35</f>
        <v>20</v>
      </c>
      <c r="J4" s="17">
        <f>I4*(1+G4*가정!$C$19)</f>
        <v>20</v>
      </c>
      <c r="K4" s="17">
        <f>I4*가정!$C$36*(1+G4*가정!$C$19*가정!$C$24)</f>
        <v>10</v>
      </c>
      <c r="L4" s="18">
        <f>가정!$C$38+D4*가정!$C$12+E4*가정!$C$17</f>
        <v>0.111</v>
      </c>
      <c r="M4" s="18">
        <f>가정!$C$38+가정!$C$23*(L4-가정!$C$38)</f>
        <v>0.111</v>
      </c>
      <c r="N4" s="19">
        <f>0</f>
        <v>0</v>
      </c>
      <c r="O4" s="20">
        <f>K4+가정!$C$33*M4+N4*L4</f>
        <v>55.066000000000003</v>
      </c>
      <c r="P4" s="21">
        <f>가정!$C$39*(1+D4*가정!$C$13)</f>
        <v>1.2889999999999999</v>
      </c>
      <c r="Q4" s="21">
        <f>1+F4*가정!$C$15</f>
        <v>1</v>
      </c>
      <c r="R4" s="21">
        <f t="shared" ref="R4:R35" si="0">P4*Q4</f>
        <v>1.2889999999999999</v>
      </c>
      <c r="S4" s="20">
        <f t="shared" ref="S4:S35" si="1">O4*R4</f>
        <v>70.980074000000002</v>
      </c>
      <c r="T4" s="19">
        <f>IF(F4=1,가정!$C$16,가정!$C$40)</f>
        <v>31846</v>
      </c>
      <c r="U4" s="20">
        <f t="shared" ref="U4:U35" si="2">S4*T4/10000</f>
        <v>226.04314366040001</v>
      </c>
      <c r="V4" s="20">
        <f>U4/(1-가정!$C$41)*가정!$C$42</f>
        <v>237.94015122147371</v>
      </c>
      <c r="W4" s="19">
        <f>가정!$C$33+N4+K4</f>
        <v>416</v>
      </c>
      <c r="X4" s="19">
        <f>(가정!$C$34-가정!$C$33)+J4-K4</f>
        <v>626</v>
      </c>
      <c r="Y4" s="19">
        <f t="shared" ref="Y4:Y35" si="3">W4+X4</f>
        <v>1042</v>
      </c>
      <c r="Z4" s="20">
        <f t="shared" ref="Z4:Z35" si="4">O4*P4</f>
        <v>70.980074000000002</v>
      </c>
    </row>
    <row r="5" spans="1:26" x14ac:dyDescent="0.3">
      <c r="A5" s="16">
        <v>2</v>
      </c>
      <c r="B5" s="16">
        <v>2027</v>
      </c>
      <c r="C5" s="16">
        <v>2</v>
      </c>
      <c r="D5" s="17">
        <f>가정!$C$6*MIN(1,MAX(0,(A5-가정!$C$28+1)/가정!$C$30))</f>
        <v>0</v>
      </c>
      <c r="E5" s="17">
        <f>IF(가정!$C$7&lt;30000,1,0)*MIN(1,MAX(0,(A5-가정!$C$29+1)/가정!$C$30))</f>
        <v>0</v>
      </c>
      <c r="F5" s="16">
        <f>IF(가정!$C$7&lt;30000,1,0)*IF(A5&gt;=가정!$C$29,1,0)</f>
        <v>0</v>
      </c>
      <c r="G5" s="17">
        <f>가정!$C$8*MIN(1,MAX(0,(A5-가정!$C$31+1)/가정!$C$32))</f>
        <v>0</v>
      </c>
      <c r="H5" s="18">
        <f>가정!$C$37+D5*가정!$C$14+E5*가정!$C$18</f>
        <v>-5.0000000000000001E-3</v>
      </c>
      <c r="I5" s="17">
        <f t="shared" ref="I5:I36" si="5">I4*(1+H5)</f>
        <v>19.899999999999999</v>
      </c>
      <c r="J5" s="17">
        <f>I5*(1+G5*가정!$C$19)</f>
        <v>19.899999999999999</v>
      </c>
      <c r="K5" s="17">
        <f>I5*가정!$C$36*(1+G5*가정!$C$19*가정!$C$24)</f>
        <v>9.9499999999999993</v>
      </c>
      <c r="L5" s="18">
        <f>가정!$C$38+D5*가정!$C$12+E5*가정!$C$17</f>
        <v>0.111</v>
      </c>
      <c r="M5" s="18">
        <f>가정!$C$38+가정!$C$23*(L5-가정!$C$38)</f>
        <v>0.111</v>
      </c>
      <c r="N5" s="19">
        <f t="shared" ref="N5:N36" si="6">N4+K4</f>
        <v>10</v>
      </c>
      <c r="O5" s="20">
        <f>K5+가정!$C$33*M5+N5*L5</f>
        <v>56.126000000000005</v>
      </c>
      <c r="P5" s="21">
        <f>가정!$C$39*(1+D5*가정!$C$13)</f>
        <v>1.2889999999999999</v>
      </c>
      <c r="Q5" s="21">
        <f>1+F5*가정!$C$15</f>
        <v>1</v>
      </c>
      <c r="R5" s="21">
        <f t="shared" si="0"/>
        <v>1.2889999999999999</v>
      </c>
      <c r="S5" s="20">
        <f t="shared" si="1"/>
        <v>72.346413999999996</v>
      </c>
      <c r="T5" s="19">
        <f>IF(F5=1,가정!$C$16,가정!$C$40)</f>
        <v>31846</v>
      </c>
      <c r="U5" s="20">
        <f t="shared" si="2"/>
        <v>230.3943900244</v>
      </c>
      <c r="V5" s="20">
        <f>U5/(1-가정!$C$41)*가정!$C$42</f>
        <v>242.52041055200002</v>
      </c>
      <c r="W5" s="19">
        <f>가정!$C$33+N5+K5</f>
        <v>425.95</v>
      </c>
      <c r="X5" s="19">
        <f t="shared" ref="X5:X36" si="7">X4+J5-K5</f>
        <v>635.94999999999993</v>
      </c>
      <c r="Y5" s="19">
        <f t="shared" si="3"/>
        <v>1061.8999999999999</v>
      </c>
      <c r="Z5" s="20">
        <f t="shared" si="4"/>
        <v>72.346413999999996</v>
      </c>
    </row>
    <row r="6" spans="1:26" x14ac:dyDescent="0.3">
      <c r="A6" s="16">
        <v>3</v>
      </c>
      <c r="B6" s="16">
        <v>2027</v>
      </c>
      <c r="C6" s="16">
        <v>3</v>
      </c>
      <c r="D6" s="17">
        <f>가정!$C$6*MIN(1,MAX(0,(A6-가정!$C$28+1)/가정!$C$30))</f>
        <v>0</v>
      </c>
      <c r="E6" s="17">
        <f>IF(가정!$C$7&lt;30000,1,0)*MIN(1,MAX(0,(A6-가정!$C$29+1)/가정!$C$30))</f>
        <v>0</v>
      </c>
      <c r="F6" s="16">
        <f>IF(가정!$C$7&lt;30000,1,0)*IF(A6&gt;=가정!$C$29,1,0)</f>
        <v>0</v>
      </c>
      <c r="G6" s="17">
        <f>가정!$C$8*MIN(1,MAX(0,(A6-가정!$C$31+1)/가정!$C$32))</f>
        <v>0</v>
      </c>
      <c r="H6" s="18">
        <f>가정!$C$37+D6*가정!$C$14+E6*가정!$C$18</f>
        <v>-5.0000000000000001E-3</v>
      </c>
      <c r="I6" s="17">
        <f t="shared" si="5"/>
        <v>19.8005</v>
      </c>
      <c r="J6" s="17">
        <f>I6*(1+G6*가정!$C$19)</f>
        <v>19.8005</v>
      </c>
      <c r="K6" s="17">
        <f>I6*가정!$C$36*(1+G6*가정!$C$19*가정!$C$24)</f>
        <v>9.9002499999999998</v>
      </c>
      <c r="L6" s="18">
        <f>가정!$C$38+D6*가정!$C$12+E6*가정!$C$17</f>
        <v>0.111</v>
      </c>
      <c r="M6" s="18">
        <f>가정!$C$38+가정!$C$23*(L6-가정!$C$38)</f>
        <v>0.111</v>
      </c>
      <c r="N6" s="19">
        <f t="shared" si="6"/>
        <v>19.95</v>
      </c>
      <c r="O6" s="20">
        <f>K6+가정!$C$33*M6+N6*L6</f>
        <v>57.180700000000002</v>
      </c>
      <c r="P6" s="21">
        <f>가정!$C$39*(1+D6*가정!$C$13)</f>
        <v>1.2889999999999999</v>
      </c>
      <c r="Q6" s="21">
        <f>1+F6*가정!$C$15</f>
        <v>1</v>
      </c>
      <c r="R6" s="21">
        <f t="shared" si="0"/>
        <v>1.2889999999999999</v>
      </c>
      <c r="S6" s="20">
        <f t="shared" si="1"/>
        <v>73.705922299999997</v>
      </c>
      <c r="T6" s="19">
        <f>IF(F6=1,가정!$C$16,가정!$C$40)</f>
        <v>31846</v>
      </c>
      <c r="U6" s="20">
        <f t="shared" si="2"/>
        <v>234.72388015657998</v>
      </c>
      <c r="V6" s="20">
        <f>U6/(1-가정!$C$41)*가정!$C$42</f>
        <v>247.07776858587368</v>
      </c>
      <c r="W6" s="19">
        <f>가정!$C$33+N6+K6</f>
        <v>435.85024999999996</v>
      </c>
      <c r="X6" s="19">
        <f t="shared" si="7"/>
        <v>645.85024999999985</v>
      </c>
      <c r="Y6" s="19">
        <f t="shared" si="3"/>
        <v>1081.7004999999999</v>
      </c>
      <c r="Z6" s="20">
        <f t="shared" si="4"/>
        <v>73.705922299999997</v>
      </c>
    </row>
    <row r="7" spans="1:26" x14ac:dyDescent="0.3">
      <c r="A7" s="16">
        <v>4</v>
      </c>
      <c r="B7" s="16">
        <v>2027</v>
      </c>
      <c r="C7" s="16">
        <v>4</v>
      </c>
      <c r="D7" s="17">
        <f>가정!$C$6*MIN(1,MAX(0,(A7-가정!$C$28+1)/가정!$C$30))</f>
        <v>0</v>
      </c>
      <c r="E7" s="17">
        <f>IF(가정!$C$7&lt;30000,1,0)*MIN(1,MAX(0,(A7-가정!$C$29+1)/가정!$C$30))</f>
        <v>0</v>
      </c>
      <c r="F7" s="16">
        <f>IF(가정!$C$7&lt;30000,1,0)*IF(A7&gt;=가정!$C$29,1,0)</f>
        <v>0</v>
      </c>
      <c r="G7" s="17">
        <f>가정!$C$8*MIN(1,MAX(0,(A7-가정!$C$31+1)/가정!$C$32))</f>
        <v>0</v>
      </c>
      <c r="H7" s="18">
        <f>가정!$C$37+D7*가정!$C$14+E7*가정!$C$18</f>
        <v>-5.0000000000000001E-3</v>
      </c>
      <c r="I7" s="17">
        <f t="shared" si="5"/>
        <v>19.701497499999999</v>
      </c>
      <c r="J7" s="17">
        <f>I7*(1+G7*가정!$C$19)</f>
        <v>19.701497499999999</v>
      </c>
      <c r="K7" s="17">
        <f>I7*가정!$C$36*(1+G7*가정!$C$19*가정!$C$24)</f>
        <v>9.8507487499999993</v>
      </c>
      <c r="L7" s="18">
        <f>가정!$C$38+D7*가정!$C$12+E7*가정!$C$17</f>
        <v>0.111</v>
      </c>
      <c r="M7" s="18">
        <f>가정!$C$38+가정!$C$23*(L7-가정!$C$38)</f>
        <v>0.111</v>
      </c>
      <c r="N7" s="19">
        <f t="shared" si="6"/>
        <v>29.850249999999999</v>
      </c>
      <c r="O7" s="20">
        <f>K7+가정!$C$33*M7+N7*L7</f>
        <v>58.230126500000004</v>
      </c>
      <c r="P7" s="21">
        <f>가정!$C$39*(1+D7*가정!$C$13)</f>
        <v>1.2889999999999999</v>
      </c>
      <c r="Q7" s="21">
        <f>1+F7*가정!$C$15</f>
        <v>1</v>
      </c>
      <c r="R7" s="21">
        <f t="shared" si="0"/>
        <v>1.2889999999999999</v>
      </c>
      <c r="S7" s="20">
        <f t="shared" si="1"/>
        <v>75.058633058500007</v>
      </c>
      <c r="T7" s="19">
        <f>IF(F7=1,가정!$C$16,가정!$C$40)</f>
        <v>31846</v>
      </c>
      <c r="U7" s="20">
        <f t="shared" si="2"/>
        <v>239.03172283809911</v>
      </c>
      <c r="V7" s="20">
        <f>U7/(1-가정!$C$41)*가정!$C$42</f>
        <v>251.61233982957802</v>
      </c>
      <c r="W7" s="19">
        <f>가정!$C$33+N7+K7</f>
        <v>445.70099875</v>
      </c>
      <c r="X7" s="19">
        <f t="shared" si="7"/>
        <v>655.70099874999983</v>
      </c>
      <c r="Y7" s="19">
        <f t="shared" si="3"/>
        <v>1101.4019974999999</v>
      </c>
      <c r="Z7" s="20">
        <f t="shared" si="4"/>
        <v>75.058633058500007</v>
      </c>
    </row>
    <row r="8" spans="1:26" x14ac:dyDescent="0.3">
      <c r="A8" s="16">
        <v>5</v>
      </c>
      <c r="B8" s="16">
        <v>2027</v>
      </c>
      <c r="C8" s="16">
        <v>5</v>
      </c>
      <c r="D8" s="17">
        <f>가정!$C$6*MIN(1,MAX(0,(A8-가정!$C$28+1)/가정!$C$30))</f>
        <v>0</v>
      </c>
      <c r="E8" s="17">
        <f>IF(가정!$C$7&lt;30000,1,0)*MIN(1,MAX(0,(A8-가정!$C$29+1)/가정!$C$30))</f>
        <v>0</v>
      </c>
      <c r="F8" s="16">
        <f>IF(가정!$C$7&lt;30000,1,0)*IF(A8&gt;=가정!$C$29,1,0)</f>
        <v>0</v>
      </c>
      <c r="G8" s="17">
        <f>가정!$C$8*MIN(1,MAX(0,(A8-가정!$C$31+1)/가정!$C$32))</f>
        <v>0</v>
      </c>
      <c r="H8" s="18">
        <f>가정!$C$37+D8*가정!$C$14+E8*가정!$C$18</f>
        <v>-5.0000000000000001E-3</v>
      </c>
      <c r="I8" s="17">
        <f t="shared" si="5"/>
        <v>19.602990012499998</v>
      </c>
      <c r="J8" s="17">
        <f>I8*(1+G8*가정!$C$19)</f>
        <v>19.602990012499998</v>
      </c>
      <c r="K8" s="17">
        <f>I8*가정!$C$36*(1+G8*가정!$C$19*가정!$C$24)</f>
        <v>9.8014950062499988</v>
      </c>
      <c r="L8" s="18">
        <f>가정!$C$38+D8*가정!$C$12+E8*가정!$C$17</f>
        <v>0.111</v>
      </c>
      <c r="M8" s="18">
        <f>가정!$C$38+가정!$C$23*(L8-가정!$C$38)</f>
        <v>0.111</v>
      </c>
      <c r="N8" s="19">
        <f t="shared" si="6"/>
        <v>39.700998749999997</v>
      </c>
      <c r="O8" s="20">
        <f>K8+가정!$C$33*M8+N8*L8</f>
        <v>59.274305867500004</v>
      </c>
      <c r="P8" s="21">
        <f>가정!$C$39*(1+D8*가정!$C$13)</f>
        <v>1.2889999999999999</v>
      </c>
      <c r="Q8" s="21">
        <f>1+F8*가정!$C$15</f>
        <v>1</v>
      </c>
      <c r="R8" s="21">
        <f t="shared" si="0"/>
        <v>1.2889999999999999</v>
      </c>
      <c r="S8" s="20">
        <f t="shared" si="1"/>
        <v>76.404580263207507</v>
      </c>
      <c r="T8" s="19">
        <f>IF(F8=1,가정!$C$16,가정!$C$40)</f>
        <v>31846</v>
      </c>
      <c r="U8" s="20">
        <f t="shared" si="2"/>
        <v>243.31802630621064</v>
      </c>
      <c r="V8" s="20">
        <f>U8/(1-가정!$C$41)*가정!$C$42</f>
        <v>256.12423821706386</v>
      </c>
      <c r="W8" s="19">
        <f>가정!$C$33+N8+K8</f>
        <v>455.50249375624998</v>
      </c>
      <c r="X8" s="19">
        <f t="shared" si="7"/>
        <v>665.50249375624981</v>
      </c>
      <c r="Y8" s="19">
        <f t="shared" si="3"/>
        <v>1121.0049875124998</v>
      </c>
      <c r="Z8" s="20">
        <f t="shared" si="4"/>
        <v>76.404580263207507</v>
      </c>
    </row>
    <row r="9" spans="1:26" x14ac:dyDescent="0.3">
      <c r="A9" s="16">
        <v>6</v>
      </c>
      <c r="B9" s="16">
        <v>2027</v>
      </c>
      <c r="C9" s="16">
        <v>6</v>
      </c>
      <c r="D9" s="17">
        <f>가정!$C$6*MIN(1,MAX(0,(A9-가정!$C$28+1)/가정!$C$30))</f>
        <v>0</v>
      </c>
      <c r="E9" s="17">
        <f>IF(가정!$C$7&lt;30000,1,0)*MIN(1,MAX(0,(A9-가정!$C$29+1)/가정!$C$30))</f>
        <v>0</v>
      </c>
      <c r="F9" s="16">
        <f>IF(가정!$C$7&lt;30000,1,0)*IF(A9&gt;=가정!$C$29,1,0)</f>
        <v>0</v>
      </c>
      <c r="G9" s="17">
        <f>가정!$C$8*MIN(1,MAX(0,(A9-가정!$C$31+1)/가정!$C$32))</f>
        <v>0</v>
      </c>
      <c r="H9" s="18">
        <f>가정!$C$37+D9*가정!$C$14+E9*가정!$C$18</f>
        <v>-5.0000000000000001E-3</v>
      </c>
      <c r="I9" s="17">
        <f t="shared" si="5"/>
        <v>19.504975062437499</v>
      </c>
      <c r="J9" s="17">
        <f>I9*(1+G9*가정!$C$19)</f>
        <v>19.504975062437499</v>
      </c>
      <c r="K9" s="17">
        <f>I9*가정!$C$36*(1+G9*가정!$C$19*가정!$C$24)</f>
        <v>9.7524875312187493</v>
      </c>
      <c r="L9" s="18">
        <f>가정!$C$38+D9*가정!$C$12+E9*가정!$C$17</f>
        <v>0.111</v>
      </c>
      <c r="M9" s="18">
        <f>가정!$C$38+가정!$C$23*(L9-가정!$C$38)</f>
        <v>0.111</v>
      </c>
      <c r="N9" s="19">
        <f t="shared" si="6"/>
        <v>49.502493756249997</v>
      </c>
      <c r="O9" s="20">
        <f>K9+가정!$C$33*M9+N9*L9</f>
        <v>60.313264338162497</v>
      </c>
      <c r="P9" s="21">
        <f>가정!$C$39*(1+D9*가정!$C$13)</f>
        <v>1.2889999999999999</v>
      </c>
      <c r="Q9" s="21">
        <f>1+F9*가정!$C$15</f>
        <v>1</v>
      </c>
      <c r="R9" s="21">
        <f t="shared" si="0"/>
        <v>1.2889999999999999</v>
      </c>
      <c r="S9" s="20">
        <f t="shared" si="1"/>
        <v>77.743797731891448</v>
      </c>
      <c r="T9" s="19">
        <f>IF(F9=1,가정!$C$16,가정!$C$40)</f>
        <v>31846</v>
      </c>
      <c r="U9" s="20">
        <f t="shared" si="2"/>
        <v>247.58289825698151</v>
      </c>
      <c r="V9" s="20">
        <f>U9/(1-가정!$C$41)*가정!$C$42</f>
        <v>260.61357711261212</v>
      </c>
      <c r="W9" s="19">
        <f>가정!$C$33+N9+K9</f>
        <v>465.25498128746875</v>
      </c>
      <c r="X9" s="19">
        <f t="shared" si="7"/>
        <v>675.25498128746858</v>
      </c>
      <c r="Y9" s="19">
        <f t="shared" si="3"/>
        <v>1140.5099625749374</v>
      </c>
      <c r="Z9" s="20">
        <f t="shared" si="4"/>
        <v>77.743797731891448</v>
      </c>
    </row>
    <row r="10" spans="1:26" x14ac:dyDescent="0.3">
      <c r="A10" s="16">
        <v>7</v>
      </c>
      <c r="B10" s="16">
        <v>2027</v>
      </c>
      <c r="C10" s="16">
        <v>7</v>
      </c>
      <c r="D10" s="17">
        <f>가정!$C$6*MIN(1,MAX(0,(A10-가정!$C$28+1)/가정!$C$30))</f>
        <v>0</v>
      </c>
      <c r="E10" s="17">
        <f>IF(가정!$C$7&lt;30000,1,0)*MIN(1,MAX(0,(A10-가정!$C$29+1)/가정!$C$30))</f>
        <v>0</v>
      </c>
      <c r="F10" s="16">
        <f>IF(가정!$C$7&lt;30000,1,0)*IF(A10&gt;=가정!$C$29,1,0)</f>
        <v>0</v>
      </c>
      <c r="G10" s="17">
        <f>가정!$C$8*MIN(1,MAX(0,(A10-가정!$C$31+1)/가정!$C$32))</f>
        <v>0</v>
      </c>
      <c r="H10" s="18">
        <f>가정!$C$37+D10*가정!$C$14+E10*가정!$C$18</f>
        <v>-5.0000000000000001E-3</v>
      </c>
      <c r="I10" s="17">
        <f t="shared" si="5"/>
        <v>19.40745018712531</v>
      </c>
      <c r="J10" s="17">
        <f>I10*(1+G10*가정!$C$19)</f>
        <v>19.40745018712531</v>
      </c>
      <c r="K10" s="17">
        <f>I10*가정!$C$36*(1+G10*가정!$C$19*가정!$C$24)</f>
        <v>9.7037250935626549</v>
      </c>
      <c r="L10" s="18">
        <f>가정!$C$38+D10*가정!$C$12+E10*가정!$C$17</f>
        <v>0.111</v>
      </c>
      <c r="M10" s="18">
        <f>가정!$C$38+가정!$C$23*(L10-가정!$C$38)</f>
        <v>0.111</v>
      </c>
      <c r="N10" s="19">
        <f t="shared" si="6"/>
        <v>59.254981287468745</v>
      </c>
      <c r="O10" s="20">
        <f>K10+가정!$C$33*M10+N10*L10</f>
        <v>61.347028016471683</v>
      </c>
      <c r="P10" s="21">
        <f>가정!$C$39*(1+D10*가정!$C$13)</f>
        <v>1.2889999999999999</v>
      </c>
      <c r="Q10" s="21">
        <f>1+F10*가정!$C$15</f>
        <v>1</v>
      </c>
      <c r="R10" s="21">
        <f t="shared" si="0"/>
        <v>1.2889999999999999</v>
      </c>
      <c r="S10" s="20">
        <f t="shared" si="1"/>
        <v>79.076319113231989</v>
      </c>
      <c r="T10" s="19">
        <f>IF(F10=1,가정!$C$16,가정!$C$40)</f>
        <v>31846</v>
      </c>
      <c r="U10" s="20">
        <f t="shared" si="2"/>
        <v>251.8264458479986</v>
      </c>
      <c r="V10" s="20">
        <f>U10/(1-가정!$C$41)*가정!$C$42</f>
        <v>265.08046931368273</v>
      </c>
      <c r="W10" s="19">
        <f>가정!$C$33+N10+K10</f>
        <v>474.95870638103139</v>
      </c>
      <c r="X10" s="19">
        <f t="shared" si="7"/>
        <v>684.95870638103122</v>
      </c>
      <c r="Y10" s="19">
        <f t="shared" si="3"/>
        <v>1159.9174127620627</v>
      </c>
      <c r="Z10" s="20">
        <f t="shared" si="4"/>
        <v>79.076319113231989</v>
      </c>
    </row>
    <row r="11" spans="1:26" x14ac:dyDescent="0.3">
      <c r="A11" s="16">
        <v>8</v>
      </c>
      <c r="B11" s="16">
        <v>2027</v>
      </c>
      <c r="C11" s="16">
        <v>8</v>
      </c>
      <c r="D11" s="17">
        <f>가정!$C$6*MIN(1,MAX(0,(A11-가정!$C$28+1)/가정!$C$30))</f>
        <v>0</v>
      </c>
      <c r="E11" s="17">
        <f>IF(가정!$C$7&lt;30000,1,0)*MIN(1,MAX(0,(A11-가정!$C$29+1)/가정!$C$30))</f>
        <v>0</v>
      </c>
      <c r="F11" s="16">
        <f>IF(가정!$C$7&lt;30000,1,0)*IF(A11&gt;=가정!$C$29,1,0)</f>
        <v>0</v>
      </c>
      <c r="G11" s="17">
        <f>가정!$C$8*MIN(1,MAX(0,(A11-가정!$C$31+1)/가정!$C$32))</f>
        <v>0</v>
      </c>
      <c r="H11" s="18">
        <f>가정!$C$37+D11*가정!$C$14+E11*가정!$C$18</f>
        <v>-5.0000000000000001E-3</v>
      </c>
      <c r="I11" s="17">
        <f t="shared" si="5"/>
        <v>19.310412936189682</v>
      </c>
      <c r="J11" s="17">
        <f>I11*(1+G11*가정!$C$19)</f>
        <v>19.310412936189682</v>
      </c>
      <c r="K11" s="17">
        <f>I11*가정!$C$36*(1+G11*가정!$C$19*가정!$C$24)</f>
        <v>9.6552064680948408</v>
      </c>
      <c r="L11" s="18">
        <f>가정!$C$38+D11*가정!$C$12+E11*가정!$C$17</f>
        <v>0.111</v>
      </c>
      <c r="M11" s="18">
        <f>가정!$C$38+가정!$C$23*(L11-가정!$C$38)</f>
        <v>0.111</v>
      </c>
      <c r="N11" s="19">
        <f t="shared" si="6"/>
        <v>68.958706381031405</v>
      </c>
      <c r="O11" s="20">
        <f>K11+가정!$C$33*M11+N11*L11</f>
        <v>62.375622876389329</v>
      </c>
      <c r="P11" s="21">
        <f>가정!$C$39*(1+D11*가정!$C$13)</f>
        <v>1.2889999999999999</v>
      </c>
      <c r="Q11" s="21">
        <f>1+F11*가정!$C$15</f>
        <v>1</v>
      </c>
      <c r="R11" s="21">
        <f t="shared" si="0"/>
        <v>1.2889999999999999</v>
      </c>
      <c r="S11" s="20">
        <f t="shared" si="1"/>
        <v>80.402177887665843</v>
      </c>
      <c r="T11" s="19">
        <f>IF(F11=1,가정!$C$16,가정!$C$40)</f>
        <v>31846</v>
      </c>
      <c r="U11" s="20">
        <f t="shared" si="2"/>
        <v>256.04877570106066</v>
      </c>
      <c r="V11" s="20">
        <f>U11/(1-가정!$C$41)*가정!$C$42</f>
        <v>269.52502705374809</v>
      </c>
      <c r="W11" s="19">
        <f>가정!$C$33+N11+K11</f>
        <v>484.61391284912622</v>
      </c>
      <c r="X11" s="19">
        <f t="shared" si="7"/>
        <v>694.613912849126</v>
      </c>
      <c r="Y11" s="19">
        <f t="shared" si="3"/>
        <v>1179.2278256982522</v>
      </c>
      <c r="Z11" s="20">
        <f t="shared" si="4"/>
        <v>80.402177887665843</v>
      </c>
    </row>
    <row r="12" spans="1:26" x14ac:dyDescent="0.3">
      <c r="A12" s="16">
        <v>9</v>
      </c>
      <c r="B12" s="16">
        <v>2027</v>
      </c>
      <c r="C12" s="16">
        <v>9</v>
      </c>
      <c r="D12" s="17">
        <f>가정!$C$6*MIN(1,MAX(0,(A12-가정!$C$28+1)/가정!$C$30))</f>
        <v>0</v>
      </c>
      <c r="E12" s="17">
        <f>IF(가정!$C$7&lt;30000,1,0)*MIN(1,MAX(0,(A12-가정!$C$29+1)/가정!$C$30))</f>
        <v>0</v>
      </c>
      <c r="F12" s="16">
        <f>IF(가정!$C$7&lt;30000,1,0)*IF(A12&gt;=가정!$C$29,1,0)</f>
        <v>0</v>
      </c>
      <c r="G12" s="17">
        <f>가정!$C$8*MIN(1,MAX(0,(A12-가정!$C$31+1)/가정!$C$32))</f>
        <v>0</v>
      </c>
      <c r="H12" s="18">
        <f>가정!$C$37+D12*가정!$C$14+E12*가정!$C$18</f>
        <v>-5.0000000000000001E-3</v>
      </c>
      <c r="I12" s="17">
        <f t="shared" si="5"/>
        <v>19.213860871508732</v>
      </c>
      <c r="J12" s="17">
        <f>I12*(1+G12*가정!$C$19)</f>
        <v>19.213860871508732</v>
      </c>
      <c r="K12" s="17">
        <f>I12*가정!$C$36*(1+G12*가정!$C$19*가정!$C$24)</f>
        <v>9.6069304357543661</v>
      </c>
      <c r="L12" s="18">
        <f>가정!$C$38+D12*가정!$C$12+E12*가정!$C$17</f>
        <v>0.111</v>
      </c>
      <c r="M12" s="18">
        <f>가정!$C$38+가정!$C$23*(L12-가정!$C$38)</f>
        <v>0.111</v>
      </c>
      <c r="N12" s="19">
        <f t="shared" si="6"/>
        <v>78.613912849126251</v>
      </c>
      <c r="O12" s="20">
        <f>K12+가정!$C$33*M12+N12*L12</f>
        <v>63.39907476200738</v>
      </c>
      <c r="P12" s="21">
        <f>가정!$C$39*(1+D12*가정!$C$13)</f>
        <v>1.2889999999999999</v>
      </c>
      <c r="Q12" s="21">
        <f>1+F12*가정!$C$15</f>
        <v>1</v>
      </c>
      <c r="R12" s="21">
        <f t="shared" si="0"/>
        <v>1.2889999999999999</v>
      </c>
      <c r="S12" s="20">
        <f t="shared" si="1"/>
        <v>81.721407368227503</v>
      </c>
      <c r="T12" s="19">
        <f>IF(F12=1,가정!$C$16,가정!$C$40)</f>
        <v>31846</v>
      </c>
      <c r="U12" s="20">
        <f t="shared" si="2"/>
        <v>260.24999390485726</v>
      </c>
      <c r="V12" s="20">
        <f>U12/(1-가정!$C$41)*가정!$C$42</f>
        <v>273.94736200511289</v>
      </c>
      <c r="W12" s="19">
        <f>가정!$C$33+N12+K12</f>
        <v>494.22084328488057</v>
      </c>
      <c r="X12" s="19">
        <f t="shared" si="7"/>
        <v>704.22084328488029</v>
      </c>
      <c r="Y12" s="19">
        <f t="shared" si="3"/>
        <v>1198.4416865697608</v>
      </c>
      <c r="Z12" s="20">
        <f t="shared" si="4"/>
        <v>81.721407368227503</v>
      </c>
    </row>
    <row r="13" spans="1:26" x14ac:dyDescent="0.3">
      <c r="A13" s="16">
        <v>10</v>
      </c>
      <c r="B13" s="16">
        <v>2027</v>
      </c>
      <c r="C13" s="16">
        <v>10</v>
      </c>
      <c r="D13" s="17">
        <f>가정!$C$6*MIN(1,MAX(0,(A13-가정!$C$28+1)/가정!$C$30))</f>
        <v>0</v>
      </c>
      <c r="E13" s="17">
        <f>IF(가정!$C$7&lt;30000,1,0)*MIN(1,MAX(0,(A13-가정!$C$29+1)/가정!$C$30))</f>
        <v>0</v>
      </c>
      <c r="F13" s="16">
        <f>IF(가정!$C$7&lt;30000,1,0)*IF(A13&gt;=가정!$C$29,1,0)</f>
        <v>0</v>
      </c>
      <c r="G13" s="17">
        <f>가정!$C$8*MIN(1,MAX(0,(A13-가정!$C$31+1)/가정!$C$32))</f>
        <v>0</v>
      </c>
      <c r="H13" s="18">
        <f>가정!$C$37+D13*가정!$C$14+E13*가정!$C$18</f>
        <v>-5.0000000000000001E-3</v>
      </c>
      <c r="I13" s="17">
        <f t="shared" si="5"/>
        <v>19.117791567151187</v>
      </c>
      <c r="J13" s="17">
        <f>I13*(1+G13*가정!$C$19)</f>
        <v>19.117791567151187</v>
      </c>
      <c r="K13" s="17">
        <f>I13*가정!$C$36*(1+G13*가정!$C$19*가정!$C$24)</f>
        <v>9.5588957835755934</v>
      </c>
      <c r="L13" s="18">
        <f>가정!$C$38+D13*가정!$C$12+E13*가정!$C$17</f>
        <v>0.111</v>
      </c>
      <c r="M13" s="18">
        <f>가정!$C$38+가정!$C$23*(L13-가정!$C$38)</f>
        <v>0.111</v>
      </c>
      <c r="N13" s="19">
        <f t="shared" si="6"/>
        <v>88.220843284880615</v>
      </c>
      <c r="O13" s="20">
        <f>K13+가정!$C$33*M13+N13*L13</f>
        <v>64.417409388197342</v>
      </c>
      <c r="P13" s="21">
        <f>가정!$C$39*(1+D13*가정!$C$13)</f>
        <v>1.2889999999999999</v>
      </c>
      <c r="Q13" s="21">
        <f>1+F13*가정!$C$15</f>
        <v>1</v>
      </c>
      <c r="R13" s="21">
        <f t="shared" si="0"/>
        <v>1.2889999999999999</v>
      </c>
      <c r="S13" s="20">
        <f t="shared" si="1"/>
        <v>83.034040701386374</v>
      </c>
      <c r="T13" s="19">
        <f>IF(F13=1,가정!$C$16,가정!$C$40)</f>
        <v>31846</v>
      </c>
      <c r="U13" s="20">
        <f t="shared" si="2"/>
        <v>264.43020601763504</v>
      </c>
      <c r="V13" s="20">
        <f>U13/(1-가정!$C$41)*가정!$C$42</f>
        <v>278.34758528172114</v>
      </c>
      <c r="W13" s="19">
        <f>가정!$C$33+N13+K13</f>
        <v>503.77973906845625</v>
      </c>
      <c r="X13" s="19">
        <f t="shared" si="7"/>
        <v>713.7797390684558</v>
      </c>
      <c r="Y13" s="19">
        <f t="shared" si="3"/>
        <v>1217.559478136912</v>
      </c>
      <c r="Z13" s="20">
        <f t="shared" si="4"/>
        <v>83.034040701386374</v>
      </c>
    </row>
    <row r="14" spans="1:26" x14ac:dyDescent="0.3">
      <c r="A14" s="16">
        <v>11</v>
      </c>
      <c r="B14" s="16">
        <v>2027</v>
      </c>
      <c r="C14" s="16">
        <v>11</v>
      </c>
      <c r="D14" s="17">
        <f>가정!$C$6*MIN(1,MAX(0,(A14-가정!$C$28+1)/가정!$C$30))</f>
        <v>0</v>
      </c>
      <c r="E14" s="17">
        <f>IF(가정!$C$7&lt;30000,1,0)*MIN(1,MAX(0,(A14-가정!$C$29+1)/가정!$C$30))</f>
        <v>0</v>
      </c>
      <c r="F14" s="16">
        <f>IF(가정!$C$7&lt;30000,1,0)*IF(A14&gt;=가정!$C$29,1,0)</f>
        <v>0</v>
      </c>
      <c r="G14" s="17">
        <f>가정!$C$8*MIN(1,MAX(0,(A14-가정!$C$31+1)/가정!$C$32))</f>
        <v>0</v>
      </c>
      <c r="H14" s="18">
        <f>가정!$C$37+D14*가정!$C$14+E14*가정!$C$18</f>
        <v>-5.0000000000000001E-3</v>
      </c>
      <c r="I14" s="17">
        <f t="shared" si="5"/>
        <v>19.022202609315432</v>
      </c>
      <c r="J14" s="17">
        <f>I14*(1+G14*가정!$C$19)</f>
        <v>19.022202609315432</v>
      </c>
      <c r="K14" s="17">
        <f>I14*가정!$C$36*(1+G14*가정!$C$19*가정!$C$24)</f>
        <v>9.511101304657716</v>
      </c>
      <c r="L14" s="18">
        <f>가정!$C$38+D14*가정!$C$12+E14*가정!$C$17</f>
        <v>0.111</v>
      </c>
      <c r="M14" s="18">
        <f>가정!$C$38+가정!$C$23*(L14-가정!$C$38)</f>
        <v>0.111</v>
      </c>
      <c r="N14" s="19">
        <f t="shared" si="6"/>
        <v>97.779739068456209</v>
      </c>
      <c r="O14" s="20">
        <f>K14+가정!$C$33*M14+N14*L14</f>
        <v>65.430652341256362</v>
      </c>
      <c r="P14" s="21">
        <f>가정!$C$39*(1+D14*가정!$C$13)</f>
        <v>1.2889999999999999</v>
      </c>
      <c r="Q14" s="21">
        <f>1+F14*가정!$C$15</f>
        <v>1</v>
      </c>
      <c r="R14" s="21">
        <f t="shared" si="0"/>
        <v>1.2889999999999999</v>
      </c>
      <c r="S14" s="20">
        <f t="shared" si="1"/>
        <v>84.340110867879446</v>
      </c>
      <c r="T14" s="19">
        <f>IF(F14=1,가정!$C$16,가정!$C$40)</f>
        <v>31846</v>
      </c>
      <c r="U14" s="20">
        <f t="shared" si="2"/>
        <v>268.58951706984891</v>
      </c>
      <c r="V14" s="20">
        <f>U14/(1-가정!$C$41)*가정!$C$42</f>
        <v>282.72580744194624</v>
      </c>
      <c r="W14" s="19">
        <f>가정!$C$33+N14+K14</f>
        <v>513.29084037311395</v>
      </c>
      <c r="X14" s="19">
        <f t="shared" si="7"/>
        <v>723.2908403731135</v>
      </c>
      <c r="Y14" s="19">
        <f t="shared" si="3"/>
        <v>1236.5816807462274</v>
      </c>
      <c r="Z14" s="20">
        <f t="shared" si="4"/>
        <v>84.340110867879446</v>
      </c>
    </row>
    <row r="15" spans="1:26" x14ac:dyDescent="0.3">
      <c r="A15" s="22">
        <v>12</v>
      </c>
      <c r="B15" s="22">
        <v>2027</v>
      </c>
      <c r="C15" s="22">
        <v>12</v>
      </c>
      <c r="D15" s="23">
        <f>가정!$C$6*MIN(1,MAX(0,(A15-가정!$C$28+1)/가정!$C$30))</f>
        <v>0</v>
      </c>
      <c r="E15" s="23">
        <f>IF(가정!$C$7&lt;30000,1,0)*MIN(1,MAX(0,(A15-가정!$C$29+1)/가정!$C$30))</f>
        <v>0</v>
      </c>
      <c r="F15" s="22">
        <f>IF(가정!$C$7&lt;30000,1,0)*IF(A15&gt;=가정!$C$29,1,0)</f>
        <v>0</v>
      </c>
      <c r="G15" s="23">
        <f>가정!$C$8*MIN(1,MAX(0,(A15-가정!$C$31+1)/가정!$C$32))</f>
        <v>0</v>
      </c>
      <c r="H15" s="24">
        <f>가정!$C$37+D15*가정!$C$14+E15*가정!$C$18</f>
        <v>-5.0000000000000001E-3</v>
      </c>
      <c r="I15" s="23">
        <f t="shared" si="5"/>
        <v>18.927091596268856</v>
      </c>
      <c r="J15" s="23">
        <f>I15*(1+G15*가정!$C$19)</f>
        <v>18.927091596268856</v>
      </c>
      <c r="K15" s="23">
        <f>I15*가정!$C$36*(1+G15*가정!$C$19*가정!$C$24)</f>
        <v>9.4635457981344278</v>
      </c>
      <c r="L15" s="24">
        <f>가정!$C$38+D15*가정!$C$12+E15*가정!$C$17</f>
        <v>0.111</v>
      </c>
      <c r="M15" s="24">
        <f>가정!$C$38+가정!$C$23*(L15-가정!$C$38)</f>
        <v>0.111</v>
      </c>
      <c r="N15" s="25">
        <f t="shared" si="6"/>
        <v>107.29084037311392</v>
      </c>
      <c r="O15" s="26">
        <f>K15+가정!$C$33*M15+N15*L15</f>
        <v>66.438829079550075</v>
      </c>
      <c r="P15" s="27">
        <f>가정!$C$39*(1+D15*가정!$C$13)</f>
        <v>1.2889999999999999</v>
      </c>
      <c r="Q15" s="27">
        <f>1+F15*가정!$C$15</f>
        <v>1</v>
      </c>
      <c r="R15" s="27">
        <f t="shared" si="0"/>
        <v>1.2889999999999999</v>
      </c>
      <c r="S15" s="26">
        <f t="shared" si="1"/>
        <v>85.63965068354004</v>
      </c>
      <c r="T15" s="25">
        <f>IF(F15=1,가정!$C$16,가정!$C$40)</f>
        <v>31846</v>
      </c>
      <c r="U15" s="26">
        <f t="shared" si="2"/>
        <v>272.72803156680163</v>
      </c>
      <c r="V15" s="26">
        <f>U15/(1-가정!$C$41)*가정!$C$42</f>
        <v>287.08213849137013</v>
      </c>
      <c r="W15" s="25">
        <f>가정!$C$33+N15+K15</f>
        <v>522.75438617124837</v>
      </c>
      <c r="X15" s="25">
        <f t="shared" si="7"/>
        <v>732.75438617124792</v>
      </c>
      <c r="Y15" s="25">
        <f t="shared" si="3"/>
        <v>1255.5087723424963</v>
      </c>
      <c r="Z15" s="26">
        <f t="shared" si="4"/>
        <v>85.63965068354004</v>
      </c>
    </row>
    <row r="16" spans="1:26" x14ac:dyDescent="0.3">
      <c r="A16" s="16">
        <v>13</v>
      </c>
      <c r="B16" s="16">
        <v>2028</v>
      </c>
      <c r="C16" s="16">
        <v>1</v>
      </c>
      <c r="D16" s="17">
        <f>가정!$C$6*MIN(1,MAX(0,(A16-가정!$C$28+1)/가정!$C$30))</f>
        <v>0</v>
      </c>
      <c r="E16" s="17">
        <f>IF(가정!$C$7&lt;30000,1,0)*MIN(1,MAX(0,(A16-가정!$C$29+1)/가정!$C$30))</f>
        <v>0</v>
      </c>
      <c r="F16" s="16">
        <f>IF(가정!$C$7&lt;30000,1,0)*IF(A16&gt;=가정!$C$29,1,0)</f>
        <v>0</v>
      </c>
      <c r="G16" s="17">
        <f>가정!$C$8*MIN(1,MAX(0,(A16-가정!$C$31+1)/가정!$C$32))</f>
        <v>0</v>
      </c>
      <c r="H16" s="18">
        <f>가정!$C$37+D16*가정!$C$14+E16*가정!$C$18</f>
        <v>-5.0000000000000001E-3</v>
      </c>
      <c r="I16" s="17">
        <f t="shared" si="5"/>
        <v>18.832456138287512</v>
      </c>
      <c r="J16" s="17">
        <f>I16*(1+G16*가정!$C$19)</f>
        <v>18.832456138287512</v>
      </c>
      <c r="K16" s="17">
        <f>I16*가정!$C$36*(1+G16*가정!$C$19*가정!$C$24)</f>
        <v>9.4162280691437559</v>
      </c>
      <c r="L16" s="18">
        <f>가정!$C$38+D16*가정!$C$12+E16*가정!$C$17</f>
        <v>0.111</v>
      </c>
      <c r="M16" s="18">
        <f>가정!$C$38+가정!$C$23*(L16-가정!$C$38)</f>
        <v>0.111</v>
      </c>
      <c r="N16" s="19">
        <f t="shared" si="6"/>
        <v>116.75438617124836</v>
      </c>
      <c r="O16" s="20">
        <f>K16+가정!$C$33*M16+N16*L16</f>
        <v>67.441964934152324</v>
      </c>
      <c r="P16" s="21">
        <f>가정!$C$39*(1+D16*가정!$C$13)</f>
        <v>1.2889999999999999</v>
      </c>
      <c r="Q16" s="21">
        <f>1+F16*가정!$C$15</f>
        <v>1</v>
      </c>
      <c r="R16" s="21">
        <f t="shared" si="0"/>
        <v>1.2889999999999999</v>
      </c>
      <c r="S16" s="20">
        <f t="shared" si="1"/>
        <v>86.932692800122339</v>
      </c>
      <c r="T16" s="19">
        <f>IF(F16=1,가정!$C$16,가정!$C$40)</f>
        <v>31846</v>
      </c>
      <c r="U16" s="20">
        <f t="shared" si="2"/>
        <v>276.84585349126962</v>
      </c>
      <c r="V16" s="20">
        <f>U16/(1-가정!$C$41)*가정!$C$42</f>
        <v>291.41668788554699</v>
      </c>
      <c r="W16" s="19">
        <f>가정!$C$33+N16+K16</f>
        <v>532.17061424039207</v>
      </c>
      <c r="X16" s="19">
        <f t="shared" si="7"/>
        <v>742.17061424039161</v>
      </c>
      <c r="Y16" s="19">
        <f t="shared" si="3"/>
        <v>1274.3412284807837</v>
      </c>
      <c r="Z16" s="20">
        <f t="shared" si="4"/>
        <v>86.932692800122339</v>
      </c>
    </row>
    <row r="17" spans="1:26" x14ac:dyDescent="0.3">
      <c r="A17" s="16">
        <v>14</v>
      </c>
      <c r="B17" s="16">
        <v>2028</v>
      </c>
      <c r="C17" s="16">
        <v>2</v>
      </c>
      <c r="D17" s="17">
        <f>가정!$C$6*MIN(1,MAX(0,(A17-가정!$C$28+1)/가정!$C$30))</f>
        <v>0</v>
      </c>
      <c r="E17" s="17">
        <f>IF(가정!$C$7&lt;30000,1,0)*MIN(1,MAX(0,(A17-가정!$C$29+1)/가정!$C$30))</f>
        <v>0</v>
      </c>
      <c r="F17" s="16">
        <f>IF(가정!$C$7&lt;30000,1,0)*IF(A17&gt;=가정!$C$29,1,0)</f>
        <v>0</v>
      </c>
      <c r="G17" s="17">
        <f>가정!$C$8*MIN(1,MAX(0,(A17-가정!$C$31+1)/가정!$C$32))</f>
        <v>0</v>
      </c>
      <c r="H17" s="18">
        <f>가정!$C$37+D17*가정!$C$14+E17*가정!$C$18</f>
        <v>-5.0000000000000001E-3</v>
      </c>
      <c r="I17" s="17">
        <f t="shared" si="5"/>
        <v>18.738293857596073</v>
      </c>
      <c r="J17" s="17">
        <f>I17*(1+G17*가정!$C$19)</f>
        <v>18.738293857596073</v>
      </c>
      <c r="K17" s="17">
        <f>I17*가정!$C$36*(1+G17*가정!$C$19*가정!$C$24)</f>
        <v>9.3691469287980365</v>
      </c>
      <c r="L17" s="18">
        <f>가정!$C$38+D17*가정!$C$12+E17*가정!$C$17</f>
        <v>0.111</v>
      </c>
      <c r="M17" s="18">
        <f>가정!$C$38+가정!$C$23*(L17-가정!$C$38)</f>
        <v>0.111</v>
      </c>
      <c r="N17" s="19">
        <f t="shared" si="6"/>
        <v>126.17061424039211</v>
      </c>
      <c r="O17" s="20">
        <f>K17+가정!$C$33*M17+N17*L17</f>
        <v>68.440085109481572</v>
      </c>
      <c r="P17" s="21">
        <f>가정!$C$39*(1+D17*가정!$C$13)</f>
        <v>1.2889999999999999</v>
      </c>
      <c r="Q17" s="21">
        <f>1+F17*가정!$C$15</f>
        <v>1</v>
      </c>
      <c r="R17" s="21">
        <f t="shared" si="0"/>
        <v>1.2889999999999999</v>
      </c>
      <c r="S17" s="20">
        <f t="shared" si="1"/>
        <v>88.219269706121736</v>
      </c>
      <c r="T17" s="19">
        <f>IF(F17=1,가정!$C$16,가정!$C$40)</f>
        <v>31846</v>
      </c>
      <c r="U17" s="20">
        <f t="shared" si="2"/>
        <v>280.94308630611528</v>
      </c>
      <c r="V17" s="20">
        <f>U17/(1-가정!$C$41)*가정!$C$42</f>
        <v>295.72956453275293</v>
      </c>
      <c r="W17" s="19">
        <f>가정!$C$33+N17+K17</f>
        <v>541.53976116919011</v>
      </c>
      <c r="X17" s="19">
        <f t="shared" si="7"/>
        <v>751.53976116918966</v>
      </c>
      <c r="Y17" s="19">
        <f t="shared" si="3"/>
        <v>1293.0795223383798</v>
      </c>
      <c r="Z17" s="20">
        <f t="shared" si="4"/>
        <v>88.219269706121736</v>
      </c>
    </row>
    <row r="18" spans="1:26" x14ac:dyDescent="0.3">
      <c r="A18" s="16">
        <v>15</v>
      </c>
      <c r="B18" s="16">
        <v>2028</v>
      </c>
      <c r="C18" s="16">
        <v>3</v>
      </c>
      <c r="D18" s="17">
        <f>가정!$C$6*MIN(1,MAX(0,(A18-가정!$C$28+1)/가정!$C$30))</f>
        <v>0</v>
      </c>
      <c r="E18" s="17">
        <f>IF(가정!$C$7&lt;30000,1,0)*MIN(1,MAX(0,(A18-가정!$C$29+1)/가정!$C$30))</f>
        <v>0</v>
      </c>
      <c r="F18" s="16">
        <f>IF(가정!$C$7&lt;30000,1,0)*IF(A18&gt;=가정!$C$29,1,0)</f>
        <v>0</v>
      </c>
      <c r="G18" s="17">
        <f>가정!$C$8*MIN(1,MAX(0,(A18-가정!$C$31+1)/가정!$C$32))</f>
        <v>0</v>
      </c>
      <c r="H18" s="18">
        <f>가정!$C$37+D18*가정!$C$14+E18*가정!$C$18</f>
        <v>-5.0000000000000001E-3</v>
      </c>
      <c r="I18" s="17">
        <f t="shared" si="5"/>
        <v>18.644602388308094</v>
      </c>
      <c r="J18" s="17">
        <f>I18*(1+G18*가정!$C$19)</f>
        <v>18.644602388308094</v>
      </c>
      <c r="K18" s="17">
        <f>I18*가정!$C$36*(1+G18*가정!$C$19*가정!$C$24)</f>
        <v>9.322301194154047</v>
      </c>
      <c r="L18" s="18">
        <f>가정!$C$38+D18*가정!$C$12+E18*가정!$C$17</f>
        <v>0.111</v>
      </c>
      <c r="M18" s="18">
        <f>가정!$C$38+가정!$C$23*(L18-가정!$C$38)</f>
        <v>0.111</v>
      </c>
      <c r="N18" s="19">
        <f t="shared" si="6"/>
        <v>135.53976116919014</v>
      </c>
      <c r="O18" s="20">
        <f>K18+가정!$C$33*M18+N18*L18</f>
        <v>69.433214683934153</v>
      </c>
      <c r="P18" s="21">
        <f>가정!$C$39*(1+D18*가정!$C$13)</f>
        <v>1.2889999999999999</v>
      </c>
      <c r="Q18" s="21">
        <f>1+F18*가정!$C$15</f>
        <v>1</v>
      </c>
      <c r="R18" s="21">
        <f t="shared" si="0"/>
        <v>1.2889999999999999</v>
      </c>
      <c r="S18" s="20">
        <f t="shared" si="1"/>
        <v>89.499413727591119</v>
      </c>
      <c r="T18" s="19">
        <f>IF(F18=1,가정!$C$16,가정!$C$40)</f>
        <v>31846</v>
      </c>
      <c r="U18" s="20">
        <f t="shared" si="2"/>
        <v>285.01983295688666</v>
      </c>
      <c r="V18" s="20">
        <f>U18/(1-가정!$C$41)*가정!$C$42</f>
        <v>300.0208767967228</v>
      </c>
      <c r="W18" s="19">
        <f>가정!$C$33+N18+K18</f>
        <v>550.86206236334419</v>
      </c>
      <c r="X18" s="19">
        <f t="shared" si="7"/>
        <v>760.86206236334363</v>
      </c>
      <c r="Y18" s="19">
        <f t="shared" si="3"/>
        <v>1311.7241247266879</v>
      </c>
      <c r="Z18" s="20">
        <f t="shared" si="4"/>
        <v>89.499413727591119</v>
      </c>
    </row>
    <row r="19" spans="1:26" x14ac:dyDescent="0.3">
      <c r="A19" s="16">
        <v>16</v>
      </c>
      <c r="B19" s="16">
        <v>2028</v>
      </c>
      <c r="C19" s="16">
        <v>4</v>
      </c>
      <c r="D19" s="17">
        <f>가정!$C$6*MIN(1,MAX(0,(A19-가정!$C$28+1)/가정!$C$30))</f>
        <v>0</v>
      </c>
      <c r="E19" s="17">
        <f>IF(가정!$C$7&lt;30000,1,0)*MIN(1,MAX(0,(A19-가정!$C$29+1)/가정!$C$30))</f>
        <v>0</v>
      </c>
      <c r="F19" s="16">
        <f>IF(가정!$C$7&lt;30000,1,0)*IF(A19&gt;=가정!$C$29,1,0)</f>
        <v>0</v>
      </c>
      <c r="G19" s="17">
        <f>가정!$C$8*MIN(1,MAX(0,(A19-가정!$C$31+1)/가정!$C$32))</f>
        <v>0</v>
      </c>
      <c r="H19" s="18">
        <f>가정!$C$37+D19*가정!$C$14+E19*가정!$C$18</f>
        <v>-5.0000000000000001E-3</v>
      </c>
      <c r="I19" s="17">
        <f t="shared" si="5"/>
        <v>18.551379376366555</v>
      </c>
      <c r="J19" s="17">
        <f>I19*(1+G19*가정!$C$19)</f>
        <v>18.551379376366555</v>
      </c>
      <c r="K19" s="17">
        <f>I19*가정!$C$36*(1+G19*가정!$C$19*가정!$C$24)</f>
        <v>9.2756896881832773</v>
      </c>
      <c r="L19" s="18">
        <f>가정!$C$38+D19*가정!$C$12+E19*가정!$C$17</f>
        <v>0.111</v>
      </c>
      <c r="M19" s="18">
        <f>가정!$C$38+가정!$C$23*(L19-가정!$C$38)</f>
        <v>0.111</v>
      </c>
      <c r="N19" s="19">
        <f t="shared" si="6"/>
        <v>144.86206236334419</v>
      </c>
      <c r="O19" s="20">
        <f>K19+가정!$C$33*M19+N19*L19</f>
        <v>70.421378610514481</v>
      </c>
      <c r="P19" s="21">
        <f>가정!$C$39*(1+D19*가정!$C$13)</f>
        <v>1.2889999999999999</v>
      </c>
      <c r="Q19" s="21">
        <f>1+F19*가정!$C$15</f>
        <v>1</v>
      </c>
      <c r="R19" s="21">
        <f t="shared" si="0"/>
        <v>1.2889999999999999</v>
      </c>
      <c r="S19" s="20">
        <f t="shared" si="1"/>
        <v>90.773157028953165</v>
      </c>
      <c r="T19" s="19">
        <f>IF(F19=1,가정!$C$16,가정!$C$40)</f>
        <v>31846</v>
      </c>
      <c r="U19" s="20">
        <f t="shared" si="2"/>
        <v>289.07619587440428</v>
      </c>
      <c r="V19" s="20">
        <f>U19/(1-가정!$C$41)*가정!$C$42</f>
        <v>304.29073249937295</v>
      </c>
      <c r="W19" s="19">
        <f>가정!$C$33+N19+K19</f>
        <v>560.13775205152751</v>
      </c>
      <c r="X19" s="19">
        <f t="shared" si="7"/>
        <v>770.13775205152683</v>
      </c>
      <c r="Y19" s="19">
        <f t="shared" si="3"/>
        <v>1330.2755041030543</v>
      </c>
      <c r="Z19" s="20">
        <f t="shared" si="4"/>
        <v>90.773157028953165</v>
      </c>
    </row>
    <row r="20" spans="1:26" x14ac:dyDescent="0.3">
      <c r="A20" s="16">
        <v>17</v>
      </c>
      <c r="B20" s="16">
        <v>2028</v>
      </c>
      <c r="C20" s="16">
        <v>5</v>
      </c>
      <c r="D20" s="17">
        <f>가정!$C$6*MIN(1,MAX(0,(A20-가정!$C$28+1)/가정!$C$30))</f>
        <v>0</v>
      </c>
      <c r="E20" s="17">
        <f>IF(가정!$C$7&lt;30000,1,0)*MIN(1,MAX(0,(A20-가정!$C$29+1)/가정!$C$30))</f>
        <v>0</v>
      </c>
      <c r="F20" s="16">
        <f>IF(가정!$C$7&lt;30000,1,0)*IF(A20&gt;=가정!$C$29,1,0)</f>
        <v>0</v>
      </c>
      <c r="G20" s="17">
        <f>가정!$C$8*MIN(1,MAX(0,(A20-가정!$C$31+1)/가정!$C$32))</f>
        <v>0</v>
      </c>
      <c r="H20" s="18">
        <f>가정!$C$37+D20*가정!$C$14+E20*가정!$C$18</f>
        <v>-5.0000000000000001E-3</v>
      </c>
      <c r="I20" s="17">
        <f t="shared" si="5"/>
        <v>18.45862247948472</v>
      </c>
      <c r="J20" s="17">
        <f>I20*(1+G20*가정!$C$19)</f>
        <v>18.45862247948472</v>
      </c>
      <c r="K20" s="17">
        <f>I20*가정!$C$36*(1+G20*가정!$C$19*가정!$C$24)</f>
        <v>9.2293112397423602</v>
      </c>
      <c r="L20" s="18">
        <f>가정!$C$38+D20*가정!$C$12+E20*가정!$C$17</f>
        <v>0.111</v>
      </c>
      <c r="M20" s="18">
        <f>가정!$C$38+가정!$C$23*(L20-가정!$C$38)</f>
        <v>0.111</v>
      </c>
      <c r="N20" s="19">
        <f t="shared" si="6"/>
        <v>154.13775205152746</v>
      </c>
      <c r="O20" s="20">
        <f>K20+가정!$C$33*M20+N20*L20</f>
        <v>71.404601717461901</v>
      </c>
      <c r="P20" s="21">
        <f>가정!$C$39*(1+D20*가정!$C$13)</f>
        <v>1.2889999999999999</v>
      </c>
      <c r="Q20" s="21">
        <f>1+F20*가정!$C$15</f>
        <v>1</v>
      </c>
      <c r="R20" s="21">
        <f t="shared" si="0"/>
        <v>1.2889999999999999</v>
      </c>
      <c r="S20" s="20">
        <f t="shared" si="1"/>
        <v>92.040531613808383</v>
      </c>
      <c r="T20" s="19">
        <f>IF(F20=1,가정!$C$16,가정!$C$40)</f>
        <v>31846</v>
      </c>
      <c r="U20" s="20">
        <f t="shared" si="2"/>
        <v>293.11227697733415</v>
      </c>
      <c r="V20" s="20">
        <f>U20/(1-가정!$C$41)*가정!$C$42</f>
        <v>308.53923892350963</v>
      </c>
      <c r="W20" s="19">
        <f>가정!$C$33+N20+K20</f>
        <v>569.36706329126991</v>
      </c>
      <c r="X20" s="19">
        <f t="shared" si="7"/>
        <v>779.36706329126912</v>
      </c>
      <c r="Y20" s="19">
        <f t="shared" si="3"/>
        <v>1348.7341265825389</v>
      </c>
      <c r="Z20" s="20">
        <f t="shared" si="4"/>
        <v>92.040531613808383</v>
      </c>
    </row>
    <row r="21" spans="1:26" x14ac:dyDescent="0.3">
      <c r="A21" s="16">
        <v>18</v>
      </c>
      <c r="B21" s="16">
        <v>2028</v>
      </c>
      <c r="C21" s="16">
        <v>6</v>
      </c>
      <c r="D21" s="17">
        <f>가정!$C$6*MIN(1,MAX(0,(A21-가정!$C$28+1)/가정!$C$30))</f>
        <v>0</v>
      </c>
      <c r="E21" s="17">
        <f>IF(가정!$C$7&lt;30000,1,0)*MIN(1,MAX(0,(A21-가정!$C$29+1)/가정!$C$30))</f>
        <v>0</v>
      </c>
      <c r="F21" s="16">
        <f>IF(가정!$C$7&lt;30000,1,0)*IF(A21&gt;=가정!$C$29,1,0)</f>
        <v>0</v>
      </c>
      <c r="G21" s="17">
        <f>가정!$C$8*MIN(1,MAX(0,(A21-가정!$C$31+1)/가정!$C$32))</f>
        <v>0</v>
      </c>
      <c r="H21" s="18">
        <f>가정!$C$37+D21*가정!$C$14+E21*가정!$C$18</f>
        <v>-5.0000000000000001E-3</v>
      </c>
      <c r="I21" s="17">
        <f t="shared" si="5"/>
        <v>18.366329367087296</v>
      </c>
      <c r="J21" s="17">
        <f>I21*(1+G21*가정!$C$19)</f>
        <v>18.366329367087296</v>
      </c>
      <c r="K21" s="17">
        <f>I21*가정!$C$36*(1+G21*가정!$C$19*가정!$C$24)</f>
        <v>9.183164683543648</v>
      </c>
      <c r="L21" s="18">
        <f>가정!$C$38+D21*가정!$C$12+E21*가정!$C$17</f>
        <v>0.111</v>
      </c>
      <c r="M21" s="18">
        <f>가정!$C$38+가정!$C$23*(L21-가정!$C$38)</f>
        <v>0.111</v>
      </c>
      <c r="N21" s="19">
        <f t="shared" si="6"/>
        <v>163.36706329126983</v>
      </c>
      <c r="O21" s="20">
        <f>K21+가정!$C$33*M21+N21*L21</f>
        <v>72.382908708874609</v>
      </c>
      <c r="P21" s="21">
        <f>가정!$C$39*(1+D21*가정!$C$13)</f>
        <v>1.2889999999999999</v>
      </c>
      <c r="Q21" s="21">
        <f>1+F21*가정!$C$15</f>
        <v>1</v>
      </c>
      <c r="R21" s="21">
        <f t="shared" si="0"/>
        <v>1.2889999999999999</v>
      </c>
      <c r="S21" s="20">
        <f t="shared" si="1"/>
        <v>93.301569325739365</v>
      </c>
      <c r="T21" s="19">
        <f>IF(F21=1,가정!$C$16,가정!$C$40)</f>
        <v>31846</v>
      </c>
      <c r="U21" s="20">
        <f t="shared" si="2"/>
        <v>297.12817767474957</v>
      </c>
      <c r="V21" s="20">
        <f>U21/(1-가정!$C$41)*가정!$C$42</f>
        <v>312.76650281552588</v>
      </c>
      <c r="W21" s="19">
        <f>가정!$C$33+N21+K21</f>
        <v>578.55022797481342</v>
      </c>
      <c r="X21" s="19">
        <f t="shared" si="7"/>
        <v>788.55022797481274</v>
      </c>
      <c r="Y21" s="19">
        <f t="shared" si="3"/>
        <v>1367.1004559496262</v>
      </c>
      <c r="Z21" s="20">
        <f t="shared" si="4"/>
        <v>93.301569325739365</v>
      </c>
    </row>
    <row r="22" spans="1:26" x14ac:dyDescent="0.3">
      <c r="A22" s="16">
        <v>19</v>
      </c>
      <c r="B22" s="16">
        <v>2028</v>
      </c>
      <c r="C22" s="16">
        <v>7</v>
      </c>
      <c r="D22" s="17">
        <f>가정!$C$6*MIN(1,MAX(0,(A22-가정!$C$28+1)/가정!$C$30))</f>
        <v>0</v>
      </c>
      <c r="E22" s="17">
        <f>IF(가정!$C$7&lt;30000,1,0)*MIN(1,MAX(0,(A22-가정!$C$29+1)/가정!$C$30))</f>
        <v>0</v>
      </c>
      <c r="F22" s="16">
        <f>IF(가정!$C$7&lt;30000,1,0)*IF(A22&gt;=가정!$C$29,1,0)</f>
        <v>0</v>
      </c>
      <c r="G22" s="17">
        <f>가정!$C$8*MIN(1,MAX(0,(A22-가정!$C$31+1)/가정!$C$32))</f>
        <v>0</v>
      </c>
      <c r="H22" s="18">
        <f>가정!$C$37+D22*가정!$C$14+E22*가정!$C$18</f>
        <v>-5.0000000000000001E-3</v>
      </c>
      <c r="I22" s="17">
        <f t="shared" si="5"/>
        <v>18.274497720251858</v>
      </c>
      <c r="J22" s="17">
        <f>I22*(1+G22*가정!$C$19)</f>
        <v>18.274497720251858</v>
      </c>
      <c r="K22" s="17">
        <f>I22*가정!$C$36*(1+G22*가정!$C$19*가정!$C$24)</f>
        <v>9.1372488601259292</v>
      </c>
      <c r="L22" s="18">
        <f>가정!$C$38+D22*가정!$C$12+E22*가정!$C$17</f>
        <v>0.111</v>
      </c>
      <c r="M22" s="18">
        <f>가정!$C$38+가정!$C$23*(L22-가정!$C$38)</f>
        <v>0.111</v>
      </c>
      <c r="N22" s="19">
        <f t="shared" si="6"/>
        <v>172.55022797481348</v>
      </c>
      <c r="O22" s="20">
        <f>K22+가정!$C$33*M22+N22*L22</f>
        <v>73.356324165330221</v>
      </c>
      <c r="P22" s="21">
        <f>가정!$C$39*(1+D22*가정!$C$13)</f>
        <v>1.2889999999999999</v>
      </c>
      <c r="Q22" s="21">
        <f>1+F22*가정!$C$15</f>
        <v>1</v>
      </c>
      <c r="R22" s="21">
        <f t="shared" si="0"/>
        <v>1.2889999999999999</v>
      </c>
      <c r="S22" s="20">
        <f t="shared" si="1"/>
        <v>94.556301849110653</v>
      </c>
      <c r="T22" s="19">
        <f>IF(F22=1,가정!$C$16,가정!$C$40)</f>
        <v>31846</v>
      </c>
      <c r="U22" s="20">
        <f t="shared" si="2"/>
        <v>301.12399886867775</v>
      </c>
      <c r="V22" s="20">
        <f>U22/(1-가정!$C$41)*가정!$C$42</f>
        <v>316.97263038808183</v>
      </c>
      <c r="W22" s="19">
        <f>가정!$C$33+N22+K22</f>
        <v>587.68747683493939</v>
      </c>
      <c r="X22" s="19">
        <f t="shared" si="7"/>
        <v>797.68747683493859</v>
      </c>
      <c r="Y22" s="19">
        <f t="shared" si="3"/>
        <v>1385.3749536698779</v>
      </c>
      <c r="Z22" s="20">
        <f t="shared" si="4"/>
        <v>94.556301849110653</v>
      </c>
    </row>
    <row r="23" spans="1:26" x14ac:dyDescent="0.3">
      <c r="A23" s="16">
        <v>20</v>
      </c>
      <c r="B23" s="16">
        <v>2028</v>
      </c>
      <c r="C23" s="16">
        <v>8</v>
      </c>
      <c r="D23" s="17">
        <f>가정!$C$6*MIN(1,MAX(0,(A23-가정!$C$28+1)/가정!$C$30))</f>
        <v>0</v>
      </c>
      <c r="E23" s="17">
        <f>IF(가정!$C$7&lt;30000,1,0)*MIN(1,MAX(0,(A23-가정!$C$29+1)/가정!$C$30))</f>
        <v>0</v>
      </c>
      <c r="F23" s="16">
        <f>IF(가정!$C$7&lt;30000,1,0)*IF(A23&gt;=가정!$C$29,1,0)</f>
        <v>0</v>
      </c>
      <c r="G23" s="17">
        <f>가정!$C$8*MIN(1,MAX(0,(A23-가정!$C$31+1)/가정!$C$32))</f>
        <v>0</v>
      </c>
      <c r="H23" s="18">
        <f>가정!$C$37+D23*가정!$C$14+E23*가정!$C$18</f>
        <v>-5.0000000000000001E-3</v>
      </c>
      <c r="I23" s="17">
        <f t="shared" si="5"/>
        <v>18.1831252316506</v>
      </c>
      <c r="J23" s="17">
        <f>I23*(1+G23*가정!$C$19)</f>
        <v>18.1831252316506</v>
      </c>
      <c r="K23" s="17">
        <f>I23*가정!$C$36*(1+G23*가정!$C$19*가정!$C$24)</f>
        <v>9.0915626158252998</v>
      </c>
      <c r="L23" s="18">
        <f>가정!$C$38+D23*가정!$C$12+E23*가정!$C$17</f>
        <v>0.111</v>
      </c>
      <c r="M23" s="18">
        <f>가정!$C$38+가정!$C$23*(L23-가정!$C$38)</f>
        <v>0.111</v>
      </c>
      <c r="N23" s="19">
        <f t="shared" si="6"/>
        <v>181.68747683493942</v>
      </c>
      <c r="O23" s="20">
        <f>K23+가정!$C$33*M23+N23*L23</f>
        <v>74.324872544503577</v>
      </c>
      <c r="P23" s="21">
        <f>가정!$C$39*(1+D23*가정!$C$13)</f>
        <v>1.2889999999999999</v>
      </c>
      <c r="Q23" s="21">
        <f>1+F23*가정!$C$15</f>
        <v>1</v>
      </c>
      <c r="R23" s="21">
        <f t="shared" si="0"/>
        <v>1.2889999999999999</v>
      </c>
      <c r="S23" s="20">
        <f t="shared" si="1"/>
        <v>95.804760709865107</v>
      </c>
      <c r="T23" s="19">
        <f>IF(F23=1,가정!$C$16,가정!$C$40)</f>
        <v>31846</v>
      </c>
      <c r="U23" s="20">
        <f t="shared" si="2"/>
        <v>305.0998409566364</v>
      </c>
      <c r="V23" s="20">
        <f>U23/(1-가정!$C$41)*가정!$C$42</f>
        <v>321.15772732277514</v>
      </c>
      <c r="W23" s="19">
        <f>가정!$C$33+N23+K23</f>
        <v>596.77903945076469</v>
      </c>
      <c r="X23" s="19">
        <f t="shared" si="7"/>
        <v>806.77903945076389</v>
      </c>
      <c r="Y23" s="19">
        <f t="shared" si="3"/>
        <v>1403.5580789015285</v>
      </c>
      <c r="Z23" s="20">
        <f t="shared" si="4"/>
        <v>95.804760709865107</v>
      </c>
    </row>
    <row r="24" spans="1:26" x14ac:dyDescent="0.3">
      <c r="A24" s="16">
        <v>21</v>
      </c>
      <c r="B24" s="16">
        <v>2028</v>
      </c>
      <c r="C24" s="16">
        <v>9</v>
      </c>
      <c r="D24" s="17">
        <f>가정!$C$6*MIN(1,MAX(0,(A24-가정!$C$28+1)/가정!$C$30))</f>
        <v>0</v>
      </c>
      <c r="E24" s="17">
        <f>IF(가정!$C$7&lt;30000,1,0)*MIN(1,MAX(0,(A24-가정!$C$29+1)/가정!$C$30))</f>
        <v>0</v>
      </c>
      <c r="F24" s="16">
        <f>IF(가정!$C$7&lt;30000,1,0)*IF(A24&gt;=가정!$C$29,1,0)</f>
        <v>0</v>
      </c>
      <c r="G24" s="17">
        <f>가정!$C$8*MIN(1,MAX(0,(A24-가정!$C$31+1)/가정!$C$32))</f>
        <v>0</v>
      </c>
      <c r="H24" s="18">
        <f>가정!$C$37+D24*가정!$C$14+E24*가정!$C$18</f>
        <v>-5.0000000000000001E-3</v>
      </c>
      <c r="I24" s="17">
        <f t="shared" si="5"/>
        <v>18.092209605492346</v>
      </c>
      <c r="J24" s="17">
        <f>I24*(1+G24*가정!$C$19)</f>
        <v>18.092209605492346</v>
      </c>
      <c r="K24" s="17">
        <f>I24*가정!$C$36*(1+G24*가정!$C$19*가정!$C$24)</f>
        <v>9.0461048027461732</v>
      </c>
      <c r="L24" s="18">
        <f>가정!$C$38+D24*가정!$C$12+E24*가정!$C$17</f>
        <v>0.111</v>
      </c>
      <c r="M24" s="18">
        <f>가정!$C$38+가정!$C$23*(L24-가정!$C$38)</f>
        <v>0.111</v>
      </c>
      <c r="N24" s="19">
        <f t="shared" si="6"/>
        <v>190.77903945076471</v>
      </c>
      <c r="O24" s="20">
        <f>K24+가정!$C$33*M24+N24*L24</f>
        <v>75.288578181781062</v>
      </c>
      <c r="P24" s="21">
        <f>가정!$C$39*(1+D24*가정!$C$13)</f>
        <v>1.2889999999999999</v>
      </c>
      <c r="Q24" s="21">
        <f>1+F24*가정!$C$15</f>
        <v>1</v>
      </c>
      <c r="R24" s="21">
        <f t="shared" si="0"/>
        <v>1.2889999999999999</v>
      </c>
      <c r="S24" s="20">
        <f t="shared" si="1"/>
        <v>97.046977276315786</v>
      </c>
      <c r="T24" s="19">
        <f>IF(F24=1,가정!$C$16,가정!$C$40)</f>
        <v>31846</v>
      </c>
      <c r="U24" s="20">
        <f t="shared" si="2"/>
        <v>309.05580383415526</v>
      </c>
      <c r="V24" s="20">
        <f>U24/(1-가정!$C$41)*가정!$C$42</f>
        <v>325.32189877279501</v>
      </c>
      <c r="W24" s="19">
        <f>가정!$C$33+N24+K24</f>
        <v>605.82514425351087</v>
      </c>
      <c r="X24" s="19">
        <f t="shared" si="7"/>
        <v>815.82514425351008</v>
      </c>
      <c r="Y24" s="19">
        <f t="shared" si="3"/>
        <v>1421.6502885070208</v>
      </c>
      <c r="Z24" s="20">
        <f t="shared" si="4"/>
        <v>97.046977276315786</v>
      </c>
    </row>
    <row r="25" spans="1:26" x14ac:dyDescent="0.3">
      <c r="A25" s="16">
        <v>22</v>
      </c>
      <c r="B25" s="16">
        <v>2028</v>
      </c>
      <c r="C25" s="16">
        <v>10</v>
      </c>
      <c r="D25" s="17">
        <f>가정!$C$6*MIN(1,MAX(0,(A25-가정!$C$28+1)/가정!$C$30))</f>
        <v>0</v>
      </c>
      <c r="E25" s="17">
        <f>IF(가정!$C$7&lt;30000,1,0)*MIN(1,MAX(0,(A25-가정!$C$29+1)/가정!$C$30))</f>
        <v>0</v>
      </c>
      <c r="F25" s="16">
        <f>IF(가정!$C$7&lt;30000,1,0)*IF(A25&gt;=가정!$C$29,1,0)</f>
        <v>0</v>
      </c>
      <c r="G25" s="17">
        <f>가정!$C$8*MIN(1,MAX(0,(A25-가정!$C$31+1)/가정!$C$32))</f>
        <v>0</v>
      </c>
      <c r="H25" s="18">
        <f>가정!$C$37+D25*가정!$C$14+E25*가정!$C$18</f>
        <v>-5.0000000000000001E-3</v>
      </c>
      <c r="I25" s="17">
        <f t="shared" si="5"/>
        <v>18.001748557464886</v>
      </c>
      <c r="J25" s="17">
        <f>I25*(1+G25*가정!$C$19)</f>
        <v>18.001748557464886</v>
      </c>
      <c r="K25" s="17">
        <f>I25*가정!$C$36*(1+G25*가정!$C$19*가정!$C$24)</f>
        <v>9.0008742787324429</v>
      </c>
      <c r="L25" s="18">
        <f>가정!$C$38+D25*가정!$C$12+E25*가정!$C$17</f>
        <v>0.111</v>
      </c>
      <c r="M25" s="18">
        <f>가정!$C$38+가정!$C$23*(L25-가정!$C$38)</f>
        <v>0.111</v>
      </c>
      <c r="N25" s="19">
        <f t="shared" si="6"/>
        <v>199.8251442535109</v>
      </c>
      <c r="O25" s="20">
        <f>K25+가정!$C$33*M25+N25*L25</f>
        <v>76.247465290872157</v>
      </c>
      <c r="P25" s="21">
        <f>가정!$C$39*(1+D25*가정!$C$13)</f>
        <v>1.2889999999999999</v>
      </c>
      <c r="Q25" s="21">
        <f>1+F25*가정!$C$15</f>
        <v>1</v>
      </c>
      <c r="R25" s="21">
        <f t="shared" si="0"/>
        <v>1.2889999999999999</v>
      </c>
      <c r="S25" s="20">
        <f t="shared" si="1"/>
        <v>98.2829827599342</v>
      </c>
      <c r="T25" s="19">
        <f>IF(F25=1,가정!$C$16,가정!$C$40)</f>
        <v>31846</v>
      </c>
      <c r="U25" s="20">
        <f t="shared" si="2"/>
        <v>312.99198689728644</v>
      </c>
      <c r="V25" s="20">
        <f>U25/(1-가정!$C$41)*가정!$C$42</f>
        <v>329.46524936556466</v>
      </c>
      <c r="W25" s="19">
        <f>가정!$C$33+N25+K25</f>
        <v>614.82601853224332</v>
      </c>
      <c r="X25" s="19">
        <f t="shared" si="7"/>
        <v>824.82601853224253</v>
      </c>
      <c r="Y25" s="19">
        <f t="shared" si="3"/>
        <v>1439.6520370644857</v>
      </c>
      <c r="Z25" s="20">
        <f t="shared" si="4"/>
        <v>98.2829827599342</v>
      </c>
    </row>
    <row r="26" spans="1:26" x14ac:dyDescent="0.3">
      <c r="A26" s="16">
        <v>23</v>
      </c>
      <c r="B26" s="16">
        <v>2028</v>
      </c>
      <c r="C26" s="16">
        <v>11</v>
      </c>
      <c r="D26" s="17">
        <f>가정!$C$6*MIN(1,MAX(0,(A26-가정!$C$28+1)/가정!$C$30))</f>
        <v>0</v>
      </c>
      <c r="E26" s="17">
        <f>IF(가정!$C$7&lt;30000,1,0)*MIN(1,MAX(0,(A26-가정!$C$29+1)/가정!$C$30))</f>
        <v>0</v>
      </c>
      <c r="F26" s="16">
        <f>IF(가정!$C$7&lt;30000,1,0)*IF(A26&gt;=가정!$C$29,1,0)</f>
        <v>0</v>
      </c>
      <c r="G26" s="17">
        <f>가정!$C$8*MIN(1,MAX(0,(A26-가정!$C$31+1)/가정!$C$32))</f>
        <v>0</v>
      </c>
      <c r="H26" s="18">
        <f>가정!$C$37+D26*가정!$C$14+E26*가정!$C$18</f>
        <v>-5.0000000000000001E-3</v>
      </c>
      <c r="I26" s="17">
        <f t="shared" si="5"/>
        <v>17.91173981467756</v>
      </c>
      <c r="J26" s="17">
        <f>I26*(1+G26*가정!$C$19)</f>
        <v>17.91173981467756</v>
      </c>
      <c r="K26" s="17">
        <f>I26*가정!$C$36*(1+G26*가정!$C$19*가정!$C$24)</f>
        <v>8.95586990733878</v>
      </c>
      <c r="L26" s="18">
        <f>가정!$C$38+D26*가정!$C$12+E26*가정!$C$17</f>
        <v>0.111</v>
      </c>
      <c r="M26" s="18">
        <f>가정!$C$38+가정!$C$23*(L26-가정!$C$38)</f>
        <v>0.111</v>
      </c>
      <c r="N26" s="19">
        <f t="shared" si="6"/>
        <v>208.82601853224335</v>
      </c>
      <c r="O26" s="20">
        <f>K26+가정!$C$33*M26+N26*L26</f>
        <v>77.201557964417788</v>
      </c>
      <c r="P26" s="21">
        <f>가정!$C$39*(1+D26*가정!$C$13)</f>
        <v>1.2889999999999999</v>
      </c>
      <c r="Q26" s="21">
        <f>1+F26*가정!$C$15</f>
        <v>1</v>
      </c>
      <c r="R26" s="21">
        <f t="shared" si="0"/>
        <v>1.2889999999999999</v>
      </c>
      <c r="S26" s="20">
        <f t="shared" si="1"/>
        <v>99.512808216134516</v>
      </c>
      <c r="T26" s="19">
        <f>IF(F26=1,가정!$C$16,가정!$C$40)</f>
        <v>31846</v>
      </c>
      <c r="U26" s="20">
        <f t="shared" si="2"/>
        <v>316.90848904510199</v>
      </c>
      <c r="V26" s="20">
        <f>U26/(1-가정!$C$41)*가정!$C$42</f>
        <v>333.58788320537053</v>
      </c>
      <c r="W26" s="19">
        <f>가정!$C$33+N26+K26</f>
        <v>623.78188843958208</v>
      </c>
      <c r="X26" s="19">
        <f t="shared" si="7"/>
        <v>833.78188843958139</v>
      </c>
      <c r="Y26" s="19">
        <f t="shared" si="3"/>
        <v>1457.5637768791635</v>
      </c>
      <c r="Z26" s="20">
        <f t="shared" si="4"/>
        <v>99.512808216134516</v>
      </c>
    </row>
    <row r="27" spans="1:26" x14ac:dyDescent="0.3">
      <c r="A27" s="22">
        <v>24</v>
      </c>
      <c r="B27" s="22">
        <v>2028</v>
      </c>
      <c r="C27" s="22">
        <v>12</v>
      </c>
      <c r="D27" s="23">
        <f>가정!$C$6*MIN(1,MAX(0,(A27-가정!$C$28+1)/가정!$C$30))</f>
        <v>0</v>
      </c>
      <c r="E27" s="23">
        <f>IF(가정!$C$7&lt;30000,1,0)*MIN(1,MAX(0,(A27-가정!$C$29+1)/가정!$C$30))</f>
        <v>0</v>
      </c>
      <c r="F27" s="22">
        <f>IF(가정!$C$7&lt;30000,1,0)*IF(A27&gt;=가정!$C$29,1,0)</f>
        <v>0</v>
      </c>
      <c r="G27" s="23">
        <f>가정!$C$8*MIN(1,MAX(0,(A27-가정!$C$31+1)/가정!$C$32))</f>
        <v>0</v>
      </c>
      <c r="H27" s="24">
        <f>가정!$C$37+D27*가정!$C$14+E27*가정!$C$18</f>
        <v>-5.0000000000000001E-3</v>
      </c>
      <c r="I27" s="23">
        <f t="shared" si="5"/>
        <v>17.82218111560417</v>
      </c>
      <c r="J27" s="23">
        <f>I27*(1+G27*가정!$C$19)</f>
        <v>17.82218111560417</v>
      </c>
      <c r="K27" s="23">
        <f>I27*가정!$C$36*(1+G27*가정!$C$19*가정!$C$24)</f>
        <v>8.9110905578020851</v>
      </c>
      <c r="L27" s="24">
        <f>가정!$C$38+D27*가정!$C$12+E27*가정!$C$17</f>
        <v>0.111</v>
      </c>
      <c r="M27" s="24">
        <f>가정!$C$38+가정!$C$23*(L27-가정!$C$38)</f>
        <v>0.111</v>
      </c>
      <c r="N27" s="25">
        <f t="shared" si="6"/>
        <v>217.78188843958213</v>
      </c>
      <c r="O27" s="26">
        <f>K27+가정!$C$33*M27+N27*L27</f>
        <v>78.150880174595699</v>
      </c>
      <c r="P27" s="27">
        <f>가정!$C$39*(1+D27*가정!$C$13)</f>
        <v>1.2889999999999999</v>
      </c>
      <c r="Q27" s="27">
        <f>1+F27*가정!$C$15</f>
        <v>1</v>
      </c>
      <c r="R27" s="27">
        <f t="shared" si="0"/>
        <v>1.2889999999999999</v>
      </c>
      <c r="S27" s="26">
        <f t="shared" si="1"/>
        <v>100.73648454505386</v>
      </c>
      <c r="T27" s="25">
        <f>IF(F27=1,가정!$C$16,가정!$C$40)</f>
        <v>31846</v>
      </c>
      <c r="U27" s="26">
        <f t="shared" si="2"/>
        <v>320.80540868217849</v>
      </c>
      <c r="V27" s="26">
        <f>U27/(1-가정!$C$41)*가정!$C$42</f>
        <v>337.68990387597739</v>
      </c>
      <c r="W27" s="25">
        <f>가정!$C$33+N27+K27</f>
        <v>632.69297899738433</v>
      </c>
      <c r="X27" s="25">
        <f t="shared" si="7"/>
        <v>842.69297899738342</v>
      </c>
      <c r="Y27" s="25">
        <f t="shared" si="3"/>
        <v>1475.3859579947678</v>
      </c>
      <c r="Z27" s="26">
        <f t="shared" si="4"/>
        <v>100.73648454505386</v>
      </c>
    </row>
    <row r="28" spans="1:26" x14ac:dyDescent="0.3">
      <c r="A28" s="16">
        <v>25</v>
      </c>
      <c r="B28" s="16">
        <v>2029</v>
      </c>
      <c r="C28" s="16">
        <v>1</v>
      </c>
      <c r="D28" s="17">
        <f>가정!$C$6*MIN(1,MAX(0,(A28-가정!$C$28+1)/가정!$C$30))</f>
        <v>0</v>
      </c>
      <c r="E28" s="17">
        <f>IF(가정!$C$7&lt;30000,1,0)*MIN(1,MAX(0,(A28-가정!$C$29+1)/가정!$C$30))</f>
        <v>0</v>
      </c>
      <c r="F28" s="16">
        <f>IF(가정!$C$7&lt;30000,1,0)*IF(A28&gt;=가정!$C$29,1,0)</f>
        <v>0</v>
      </c>
      <c r="G28" s="17">
        <f>가정!$C$8*MIN(1,MAX(0,(A28-가정!$C$31+1)/가정!$C$32))</f>
        <v>0</v>
      </c>
      <c r="H28" s="18">
        <f>가정!$C$37+D28*가정!$C$14+E28*가정!$C$18</f>
        <v>-5.0000000000000001E-3</v>
      </c>
      <c r="I28" s="17">
        <f t="shared" si="5"/>
        <v>17.733070210026149</v>
      </c>
      <c r="J28" s="17">
        <f>I28*(1+G28*가정!$C$19)</f>
        <v>17.733070210026149</v>
      </c>
      <c r="K28" s="17">
        <f>I28*가정!$C$36*(1+G28*가정!$C$19*가정!$C$24)</f>
        <v>8.8665351050130745</v>
      </c>
      <c r="L28" s="18">
        <f>가정!$C$38+D28*가정!$C$12+E28*가정!$C$17</f>
        <v>0.111</v>
      </c>
      <c r="M28" s="18">
        <f>가정!$C$38+가정!$C$23*(L28-가정!$C$38)</f>
        <v>0.111</v>
      </c>
      <c r="N28" s="19">
        <f t="shared" si="6"/>
        <v>226.69297899738422</v>
      </c>
      <c r="O28" s="20">
        <f>K28+가정!$C$33*M28+N28*L28</f>
        <v>79.095455773722719</v>
      </c>
      <c r="P28" s="21">
        <f>가정!$C$39*(1+D28*가정!$C$13)</f>
        <v>1.2889999999999999</v>
      </c>
      <c r="Q28" s="21">
        <f>1+F28*가정!$C$15</f>
        <v>1</v>
      </c>
      <c r="R28" s="21">
        <f t="shared" si="0"/>
        <v>1.2889999999999999</v>
      </c>
      <c r="S28" s="20">
        <f t="shared" si="1"/>
        <v>101.95404249232858</v>
      </c>
      <c r="T28" s="19">
        <f>IF(F28=1,가정!$C$16,가정!$C$40)</f>
        <v>31846</v>
      </c>
      <c r="U28" s="20">
        <f t="shared" si="2"/>
        <v>324.68284372106956</v>
      </c>
      <c r="V28" s="20">
        <f>U28/(1-가정!$C$41)*가정!$C$42</f>
        <v>341.77141444323115</v>
      </c>
      <c r="W28" s="19">
        <f>가정!$C$33+N28+K28</f>
        <v>641.55951410239732</v>
      </c>
      <c r="X28" s="19">
        <f t="shared" si="7"/>
        <v>851.55951410239652</v>
      </c>
      <c r="Y28" s="19">
        <f t="shared" si="3"/>
        <v>1493.1190282047937</v>
      </c>
      <c r="Z28" s="20">
        <f t="shared" si="4"/>
        <v>101.95404249232858</v>
      </c>
    </row>
    <row r="29" spans="1:26" x14ac:dyDescent="0.3">
      <c r="A29" s="16">
        <v>26</v>
      </c>
      <c r="B29" s="16">
        <v>2029</v>
      </c>
      <c r="C29" s="16">
        <v>2</v>
      </c>
      <c r="D29" s="17">
        <f>가정!$C$6*MIN(1,MAX(0,(A29-가정!$C$28+1)/가정!$C$30))</f>
        <v>0</v>
      </c>
      <c r="E29" s="17">
        <f>IF(가정!$C$7&lt;30000,1,0)*MIN(1,MAX(0,(A29-가정!$C$29+1)/가정!$C$30))</f>
        <v>0</v>
      </c>
      <c r="F29" s="16">
        <f>IF(가정!$C$7&lt;30000,1,0)*IF(A29&gt;=가정!$C$29,1,0)</f>
        <v>0</v>
      </c>
      <c r="G29" s="17">
        <f>가정!$C$8*MIN(1,MAX(0,(A29-가정!$C$31+1)/가정!$C$32))</f>
        <v>0</v>
      </c>
      <c r="H29" s="18">
        <f>가정!$C$37+D29*가정!$C$14+E29*가정!$C$18</f>
        <v>-5.0000000000000001E-3</v>
      </c>
      <c r="I29" s="17">
        <f t="shared" si="5"/>
        <v>17.644404858976017</v>
      </c>
      <c r="J29" s="17">
        <f>I29*(1+G29*가정!$C$19)</f>
        <v>17.644404858976017</v>
      </c>
      <c r="K29" s="17">
        <f>I29*가정!$C$36*(1+G29*가정!$C$19*가정!$C$24)</f>
        <v>8.8222024294880086</v>
      </c>
      <c r="L29" s="18">
        <f>가정!$C$38+D29*가정!$C$12+E29*가정!$C$17</f>
        <v>0.111</v>
      </c>
      <c r="M29" s="18">
        <f>가정!$C$38+가정!$C$23*(L29-가정!$C$38)</f>
        <v>0.111</v>
      </c>
      <c r="N29" s="19">
        <f t="shared" si="6"/>
        <v>235.55951410239729</v>
      </c>
      <c r="O29" s="20">
        <f>K29+가정!$C$33*M29+N29*L29</f>
        <v>80.035308494854107</v>
      </c>
      <c r="P29" s="21">
        <f>가정!$C$39*(1+D29*가정!$C$13)</f>
        <v>1.2889999999999999</v>
      </c>
      <c r="Q29" s="21">
        <f>1+F29*가정!$C$15</f>
        <v>1</v>
      </c>
      <c r="R29" s="21">
        <f t="shared" si="0"/>
        <v>1.2889999999999999</v>
      </c>
      <c r="S29" s="20">
        <f t="shared" si="1"/>
        <v>103.16551264986694</v>
      </c>
      <c r="T29" s="19">
        <f>IF(F29=1,가정!$C$16,가정!$C$40)</f>
        <v>31846</v>
      </c>
      <c r="U29" s="20">
        <f t="shared" si="2"/>
        <v>328.54089158476626</v>
      </c>
      <c r="V29" s="20">
        <f>U29/(1-가정!$C$41)*가정!$C$42</f>
        <v>345.83251745764869</v>
      </c>
      <c r="W29" s="19">
        <f>가정!$C$33+N29+K29</f>
        <v>650.38171653188533</v>
      </c>
      <c r="X29" s="19">
        <f t="shared" si="7"/>
        <v>860.38171653188454</v>
      </c>
      <c r="Y29" s="19">
        <f t="shared" si="3"/>
        <v>1510.7634330637698</v>
      </c>
      <c r="Z29" s="20">
        <f t="shared" si="4"/>
        <v>103.16551264986694</v>
      </c>
    </row>
    <row r="30" spans="1:26" x14ac:dyDescent="0.3">
      <c r="A30" s="16">
        <v>27</v>
      </c>
      <c r="B30" s="16">
        <v>2029</v>
      </c>
      <c r="C30" s="16">
        <v>3</v>
      </c>
      <c r="D30" s="17">
        <f>가정!$C$6*MIN(1,MAX(0,(A30-가정!$C$28+1)/가정!$C$30))</f>
        <v>0</v>
      </c>
      <c r="E30" s="17">
        <f>IF(가정!$C$7&lt;30000,1,0)*MIN(1,MAX(0,(A30-가정!$C$29+1)/가정!$C$30))</f>
        <v>0</v>
      </c>
      <c r="F30" s="16">
        <f>IF(가정!$C$7&lt;30000,1,0)*IF(A30&gt;=가정!$C$29,1,0)</f>
        <v>0</v>
      </c>
      <c r="G30" s="17">
        <f>가정!$C$8*MIN(1,MAX(0,(A30-가정!$C$31+1)/가정!$C$32))</f>
        <v>0</v>
      </c>
      <c r="H30" s="18">
        <f>가정!$C$37+D30*가정!$C$14+E30*가정!$C$18</f>
        <v>-5.0000000000000001E-3</v>
      </c>
      <c r="I30" s="17">
        <f t="shared" si="5"/>
        <v>17.556182834681138</v>
      </c>
      <c r="J30" s="17">
        <f>I30*(1+G30*가정!$C$19)</f>
        <v>17.556182834681138</v>
      </c>
      <c r="K30" s="17">
        <f>I30*가정!$C$36*(1+G30*가정!$C$19*가정!$C$24)</f>
        <v>8.7780914173405691</v>
      </c>
      <c r="L30" s="18">
        <f>가정!$C$38+D30*가정!$C$12+E30*가정!$C$17</f>
        <v>0.111</v>
      </c>
      <c r="M30" s="18">
        <f>가정!$C$38+가정!$C$23*(L30-가정!$C$38)</f>
        <v>0.111</v>
      </c>
      <c r="N30" s="19">
        <f t="shared" si="6"/>
        <v>244.3817165318853</v>
      </c>
      <c r="O30" s="20">
        <f>K30+가정!$C$33*M30+N30*L30</f>
        <v>80.970461952379836</v>
      </c>
      <c r="P30" s="21">
        <f>가정!$C$39*(1+D30*가정!$C$13)</f>
        <v>1.2889999999999999</v>
      </c>
      <c r="Q30" s="21">
        <f>1+F30*가정!$C$15</f>
        <v>1</v>
      </c>
      <c r="R30" s="21">
        <f t="shared" si="0"/>
        <v>1.2889999999999999</v>
      </c>
      <c r="S30" s="20">
        <f t="shared" si="1"/>
        <v>104.3709254566176</v>
      </c>
      <c r="T30" s="19">
        <f>IF(F30=1,가정!$C$16,가정!$C$40)</f>
        <v>31846</v>
      </c>
      <c r="U30" s="20">
        <f t="shared" si="2"/>
        <v>332.37964920914436</v>
      </c>
      <c r="V30" s="20">
        <f>U30/(1-가정!$C$41)*가정!$C$42</f>
        <v>349.87331495699408</v>
      </c>
      <c r="W30" s="19">
        <f>가정!$C$33+N30+K30</f>
        <v>659.15980794922586</v>
      </c>
      <c r="X30" s="19">
        <f t="shared" si="7"/>
        <v>869.15980794922518</v>
      </c>
      <c r="Y30" s="19">
        <f t="shared" si="3"/>
        <v>1528.319615898451</v>
      </c>
      <c r="Z30" s="20">
        <f t="shared" si="4"/>
        <v>104.3709254566176</v>
      </c>
    </row>
    <row r="31" spans="1:26" x14ac:dyDescent="0.3">
      <c r="A31" s="16">
        <v>28</v>
      </c>
      <c r="B31" s="16">
        <v>2029</v>
      </c>
      <c r="C31" s="16">
        <v>4</v>
      </c>
      <c r="D31" s="17">
        <f>가정!$C$6*MIN(1,MAX(0,(A31-가정!$C$28+1)/가정!$C$30))</f>
        <v>0</v>
      </c>
      <c r="E31" s="17">
        <f>IF(가정!$C$7&lt;30000,1,0)*MIN(1,MAX(0,(A31-가정!$C$29+1)/가정!$C$30))</f>
        <v>0</v>
      </c>
      <c r="F31" s="16">
        <f>IF(가정!$C$7&lt;30000,1,0)*IF(A31&gt;=가정!$C$29,1,0)</f>
        <v>0</v>
      </c>
      <c r="G31" s="17">
        <f>가정!$C$8*MIN(1,MAX(0,(A31-가정!$C$31+1)/가정!$C$32))</f>
        <v>0</v>
      </c>
      <c r="H31" s="18">
        <f>가정!$C$37+D31*가정!$C$14+E31*가정!$C$18</f>
        <v>-5.0000000000000001E-3</v>
      </c>
      <c r="I31" s="17">
        <f t="shared" si="5"/>
        <v>17.468401920507734</v>
      </c>
      <c r="J31" s="17">
        <f>I31*(1+G31*가정!$C$19)</f>
        <v>17.468401920507734</v>
      </c>
      <c r="K31" s="17">
        <f>I31*가정!$C$36*(1+G31*가정!$C$19*가정!$C$24)</f>
        <v>8.7342009602538671</v>
      </c>
      <c r="L31" s="18">
        <f>가정!$C$38+D31*가정!$C$12+E31*가정!$C$17</f>
        <v>0.111</v>
      </c>
      <c r="M31" s="18">
        <f>가정!$C$38+가정!$C$23*(L31-가정!$C$38)</f>
        <v>0.111</v>
      </c>
      <c r="N31" s="19">
        <f t="shared" si="6"/>
        <v>253.15980794922586</v>
      </c>
      <c r="O31" s="20">
        <f>K31+가정!$C$33*M31+N31*L31</f>
        <v>81.900939642617942</v>
      </c>
      <c r="P31" s="21">
        <f>가정!$C$39*(1+D31*가정!$C$13)</f>
        <v>1.2889999999999999</v>
      </c>
      <c r="Q31" s="21">
        <f>1+F31*가정!$C$15</f>
        <v>1</v>
      </c>
      <c r="R31" s="21">
        <f t="shared" si="0"/>
        <v>1.2889999999999999</v>
      </c>
      <c r="S31" s="20">
        <f t="shared" si="1"/>
        <v>105.57031119933453</v>
      </c>
      <c r="T31" s="19">
        <f>IF(F31=1,가정!$C$16,가정!$C$40)</f>
        <v>31846</v>
      </c>
      <c r="U31" s="20">
        <f t="shared" si="2"/>
        <v>336.19921304540077</v>
      </c>
      <c r="V31" s="20">
        <f>U31/(1-가정!$C$41)*가정!$C$42</f>
        <v>353.89390846884294</v>
      </c>
      <c r="W31" s="19">
        <f>가정!$C$33+N31+K31</f>
        <v>667.89400890947968</v>
      </c>
      <c r="X31" s="19">
        <f t="shared" si="7"/>
        <v>877.89400890947911</v>
      </c>
      <c r="Y31" s="19">
        <f t="shared" si="3"/>
        <v>1545.7880178189589</v>
      </c>
      <c r="Z31" s="20">
        <f t="shared" si="4"/>
        <v>105.57031119933453</v>
      </c>
    </row>
    <row r="32" spans="1:26" x14ac:dyDescent="0.3">
      <c r="A32" s="16">
        <v>29</v>
      </c>
      <c r="B32" s="16">
        <v>2029</v>
      </c>
      <c r="C32" s="16">
        <v>5</v>
      </c>
      <c r="D32" s="17">
        <f>가정!$C$6*MIN(1,MAX(0,(A32-가정!$C$28+1)/가정!$C$30))</f>
        <v>0</v>
      </c>
      <c r="E32" s="17">
        <f>IF(가정!$C$7&lt;30000,1,0)*MIN(1,MAX(0,(A32-가정!$C$29+1)/가정!$C$30))</f>
        <v>0</v>
      </c>
      <c r="F32" s="16">
        <f>IF(가정!$C$7&lt;30000,1,0)*IF(A32&gt;=가정!$C$29,1,0)</f>
        <v>0</v>
      </c>
      <c r="G32" s="17">
        <f>가정!$C$8*MIN(1,MAX(0,(A32-가정!$C$31+1)/가정!$C$32))</f>
        <v>0</v>
      </c>
      <c r="H32" s="18">
        <f>가정!$C$37+D32*가정!$C$14+E32*가정!$C$18</f>
        <v>-5.0000000000000001E-3</v>
      </c>
      <c r="I32" s="17">
        <f t="shared" si="5"/>
        <v>17.381059910905197</v>
      </c>
      <c r="J32" s="17">
        <f>I32*(1+G32*가정!$C$19)</f>
        <v>17.381059910905197</v>
      </c>
      <c r="K32" s="17">
        <f>I32*가정!$C$36*(1+G32*가정!$C$19*가정!$C$24)</f>
        <v>8.6905299554525985</v>
      </c>
      <c r="L32" s="18">
        <f>가정!$C$38+D32*가정!$C$12+E32*가정!$C$17</f>
        <v>0.111</v>
      </c>
      <c r="M32" s="18">
        <f>가정!$C$38+가정!$C$23*(L32-가정!$C$38)</f>
        <v>0.111</v>
      </c>
      <c r="N32" s="19">
        <f t="shared" si="6"/>
        <v>261.89400890947974</v>
      </c>
      <c r="O32" s="20">
        <f>K32+가정!$C$33*M32+N32*L32</f>
        <v>82.826764944404857</v>
      </c>
      <c r="P32" s="21">
        <f>가정!$C$39*(1+D32*가정!$C$13)</f>
        <v>1.2889999999999999</v>
      </c>
      <c r="Q32" s="21">
        <f>1+F32*가정!$C$15</f>
        <v>1</v>
      </c>
      <c r="R32" s="21">
        <f t="shared" si="0"/>
        <v>1.2889999999999999</v>
      </c>
      <c r="S32" s="20">
        <f t="shared" si="1"/>
        <v>106.76370001333785</v>
      </c>
      <c r="T32" s="19">
        <f>IF(F32=1,가정!$C$16,가정!$C$40)</f>
        <v>31846</v>
      </c>
      <c r="U32" s="20">
        <f t="shared" si="2"/>
        <v>339.99967906247571</v>
      </c>
      <c r="V32" s="20">
        <f>U32/(1-가정!$C$41)*가정!$C$42</f>
        <v>357.89439901313233</v>
      </c>
      <c r="W32" s="19">
        <f>가정!$C$33+N32+K32</f>
        <v>676.58453886493226</v>
      </c>
      <c r="X32" s="19">
        <f t="shared" si="7"/>
        <v>886.58453886493169</v>
      </c>
      <c r="Y32" s="19">
        <f t="shared" si="3"/>
        <v>1563.1690777298641</v>
      </c>
      <c r="Z32" s="20">
        <f t="shared" si="4"/>
        <v>106.76370001333785</v>
      </c>
    </row>
    <row r="33" spans="1:26" x14ac:dyDescent="0.3">
      <c r="A33" s="16">
        <v>30</v>
      </c>
      <c r="B33" s="16">
        <v>2029</v>
      </c>
      <c r="C33" s="16">
        <v>6</v>
      </c>
      <c r="D33" s="17">
        <f>가정!$C$6*MIN(1,MAX(0,(A33-가정!$C$28+1)/가정!$C$30))</f>
        <v>0</v>
      </c>
      <c r="E33" s="17">
        <f>IF(가정!$C$7&lt;30000,1,0)*MIN(1,MAX(0,(A33-가정!$C$29+1)/가정!$C$30))</f>
        <v>0</v>
      </c>
      <c r="F33" s="16">
        <f>IF(가정!$C$7&lt;30000,1,0)*IF(A33&gt;=가정!$C$29,1,0)</f>
        <v>0</v>
      </c>
      <c r="G33" s="17">
        <f>가정!$C$8*MIN(1,MAX(0,(A33-가정!$C$31+1)/가정!$C$32))</f>
        <v>0</v>
      </c>
      <c r="H33" s="18">
        <f>가정!$C$37+D33*가정!$C$14+E33*가정!$C$18</f>
        <v>-5.0000000000000001E-3</v>
      </c>
      <c r="I33" s="17">
        <f t="shared" si="5"/>
        <v>17.29415461135067</v>
      </c>
      <c r="J33" s="17">
        <f>I33*(1+G33*가정!$C$19)</f>
        <v>17.29415461135067</v>
      </c>
      <c r="K33" s="17">
        <f>I33*가정!$C$36*(1+G33*가정!$C$19*가정!$C$24)</f>
        <v>8.6470773056753352</v>
      </c>
      <c r="L33" s="18">
        <f>가정!$C$38+D33*가정!$C$12+E33*가정!$C$17</f>
        <v>0.111</v>
      </c>
      <c r="M33" s="18">
        <f>가정!$C$38+가정!$C$23*(L33-가정!$C$38)</f>
        <v>0.111</v>
      </c>
      <c r="N33" s="19">
        <f t="shared" si="6"/>
        <v>270.58453886493231</v>
      </c>
      <c r="O33" s="20">
        <f>K33+가정!$C$33*M33+N33*L33</f>
        <v>83.747961119682827</v>
      </c>
      <c r="P33" s="21">
        <f>가정!$C$39*(1+D33*가정!$C$13)</f>
        <v>1.2889999999999999</v>
      </c>
      <c r="Q33" s="21">
        <f>1+F33*가정!$C$15</f>
        <v>1</v>
      </c>
      <c r="R33" s="21">
        <f t="shared" si="0"/>
        <v>1.2889999999999999</v>
      </c>
      <c r="S33" s="20">
        <f t="shared" si="1"/>
        <v>107.95112188327116</v>
      </c>
      <c r="T33" s="19">
        <f>IF(F33=1,가정!$C$16,가정!$C$40)</f>
        <v>31846</v>
      </c>
      <c r="U33" s="20">
        <f t="shared" si="2"/>
        <v>343.78114274946529</v>
      </c>
      <c r="V33" s="20">
        <f>U33/(1-가정!$C$41)*가정!$C$42</f>
        <v>361.87488710470035</v>
      </c>
      <c r="W33" s="19">
        <f>가정!$C$33+N33+K33</f>
        <v>685.23161617060759</v>
      </c>
      <c r="X33" s="19">
        <f t="shared" si="7"/>
        <v>895.23161617060703</v>
      </c>
      <c r="Y33" s="19">
        <f t="shared" si="3"/>
        <v>1580.4632323412147</v>
      </c>
      <c r="Z33" s="20">
        <f t="shared" si="4"/>
        <v>107.95112188327116</v>
      </c>
    </row>
    <row r="34" spans="1:26" x14ac:dyDescent="0.3">
      <c r="A34" s="16">
        <v>31</v>
      </c>
      <c r="B34" s="16">
        <v>2029</v>
      </c>
      <c r="C34" s="16">
        <v>7</v>
      </c>
      <c r="D34" s="17">
        <f>가정!$C$6*MIN(1,MAX(0,(A34-가정!$C$28+1)/가정!$C$30))</f>
        <v>0</v>
      </c>
      <c r="E34" s="17">
        <f>IF(가정!$C$7&lt;30000,1,0)*MIN(1,MAX(0,(A34-가정!$C$29+1)/가정!$C$30))</f>
        <v>0</v>
      </c>
      <c r="F34" s="16">
        <f>IF(가정!$C$7&lt;30000,1,0)*IF(A34&gt;=가정!$C$29,1,0)</f>
        <v>0</v>
      </c>
      <c r="G34" s="17">
        <f>가정!$C$8*MIN(1,MAX(0,(A34-가정!$C$31+1)/가정!$C$32))</f>
        <v>0</v>
      </c>
      <c r="H34" s="18">
        <f>가정!$C$37+D34*가정!$C$14+E34*가정!$C$18</f>
        <v>-5.0000000000000001E-3</v>
      </c>
      <c r="I34" s="17">
        <f t="shared" si="5"/>
        <v>17.207683838293917</v>
      </c>
      <c r="J34" s="17">
        <f>I34*(1+G34*가정!$C$19)</f>
        <v>17.207683838293917</v>
      </c>
      <c r="K34" s="17">
        <f>I34*가정!$C$36*(1+G34*가정!$C$19*가정!$C$24)</f>
        <v>8.6038419191469586</v>
      </c>
      <c r="L34" s="18">
        <f>가정!$C$38+D34*가정!$C$12+E34*가정!$C$17</f>
        <v>0.111</v>
      </c>
      <c r="M34" s="18">
        <f>가정!$C$38+가정!$C$23*(L34-가정!$C$38)</f>
        <v>0.111</v>
      </c>
      <c r="N34" s="19">
        <f t="shared" si="6"/>
        <v>279.23161617060765</v>
      </c>
      <c r="O34" s="20">
        <f>K34+가정!$C$33*M34+N34*L34</f>
        <v>84.664551314084406</v>
      </c>
      <c r="P34" s="21">
        <f>가정!$C$39*(1+D34*가정!$C$13)</f>
        <v>1.2889999999999999</v>
      </c>
      <c r="Q34" s="21">
        <f>1+F34*가정!$C$15</f>
        <v>1</v>
      </c>
      <c r="R34" s="21">
        <f t="shared" si="0"/>
        <v>1.2889999999999999</v>
      </c>
      <c r="S34" s="20">
        <f t="shared" si="1"/>
        <v>109.1326066438548</v>
      </c>
      <c r="T34" s="19">
        <f>IF(F34=1,가정!$C$16,가정!$C$40)</f>
        <v>31846</v>
      </c>
      <c r="U34" s="20">
        <f t="shared" si="2"/>
        <v>347.54369911802002</v>
      </c>
      <c r="V34" s="20">
        <f>U34/(1-가정!$C$41)*가정!$C$42</f>
        <v>365.83547275581054</v>
      </c>
      <c r="W34" s="19">
        <f>가정!$C$33+N34+K34</f>
        <v>693.83545808975452</v>
      </c>
      <c r="X34" s="19">
        <f t="shared" si="7"/>
        <v>903.83545808975407</v>
      </c>
      <c r="Y34" s="19">
        <f t="shared" si="3"/>
        <v>1597.6709161795086</v>
      </c>
      <c r="Z34" s="20">
        <f t="shared" si="4"/>
        <v>109.1326066438548</v>
      </c>
    </row>
    <row r="35" spans="1:26" x14ac:dyDescent="0.3">
      <c r="A35" s="16">
        <v>32</v>
      </c>
      <c r="B35" s="16">
        <v>2029</v>
      </c>
      <c r="C35" s="16">
        <v>8</v>
      </c>
      <c r="D35" s="17">
        <f>가정!$C$6*MIN(1,MAX(0,(A35-가정!$C$28+1)/가정!$C$30))</f>
        <v>0</v>
      </c>
      <c r="E35" s="17">
        <f>IF(가정!$C$7&lt;30000,1,0)*MIN(1,MAX(0,(A35-가정!$C$29+1)/가정!$C$30))</f>
        <v>0</v>
      </c>
      <c r="F35" s="16">
        <f>IF(가정!$C$7&lt;30000,1,0)*IF(A35&gt;=가정!$C$29,1,0)</f>
        <v>0</v>
      </c>
      <c r="G35" s="17">
        <f>가정!$C$8*MIN(1,MAX(0,(A35-가정!$C$31+1)/가정!$C$32))</f>
        <v>0</v>
      </c>
      <c r="H35" s="18">
        <f>가정!$C$37+D35*가정!$C$14+E35*가정!$C$18</f>
        <v>-5.0000000000000001E-3</v>
      </c>
      <c r="I35" s="17">
        <f t="shared" si="5"/>
        <v>17.121645419102446</v>
      </c>
      <c r="J35" s="17">
        <f>I35*(1+G35*가정!$C$19)</f>
        <v>17.121645419102446</v>
      </c>
      <c r="K35" s="17">
        <f>I35*가정!$C$36*(1+G35*가정!$C$19*가정!$C$24)</f>
        <v>8.560822709551223</v>
      </c>
      <c r="L35" s="18">
        <f>가정!$C$38+D35*가정!$C$12+E35*가정!$C$17</f>
        <v>0.111</v>
      </c>
      <c r="M35" s="18">
        <f>가정!$C$38+가정!$C$23*(L35-가정!$C$38)</f>
        <v>0.111</v>
      </c>
      <c r="N35" s="19">
        <f t="shared" si="6"/>
        <v>287.83545808975464</v>
      </c>
      <c r="O35" s="20">
        <f>K35+가정!$C$33*M35+N35*L35</f>
        <v>85.576558557513991</v>
      </c>
      <c r="P35" s="21">
        <f>가정!$C$39*(1+D35*가정!$C$13)</f>
        <v>1.2889999999999999</v>
      </c>
      <c r="Q35" s="21">
        <f>1+F35*가정!$C$15</f>
        <v>1</v>
      </c>
      <c r="R35" s="21">
        <f t="shared" si="0"/>
        <v>1.2889999999999999</v>
      </c>
      <c r="S35" s="20">
        <f t="shared" si="1"/>
        <v>110.30818398063553</v>
      </c>
      <c r="T35" s="19">
        <f>IF(F35=1,가정!$C$16,가정!$C$40)</f>
        <v>31846</v>
      </c>
      <c r="U35" s="20">
        <f t="shared" si="2"/>
        <v>351.28744270473192</v>
      </c>
      <c r="V35" s="20">
        <f>U35/(1-가정!$C$41)*가정!$C$42</f>
        <v>369.77625547866518</v>
      </c>
      <c r="W35" s="19">
        <f>가정!$C$33+N35+K35</f>
        <v>702.39628079930583</v>
      </c>
      <c r="X35" s="19">
        <f t="shared" si="7"/>
        <v>912.39628079930537</v>
      </c>
      <c r="Y35" s="19">
        <f t="shared" si="3"/>
        <v>1614.7925615986112</v>
      </c>
      <c r="Z35" s="20">
        <f t="shared" si="4"/>
        <v>110.30818398063553</v>
      </c>
    </row>
    <row r="36" spans="1:26" x14ac:dyDescent="0.3">
      <c r="A36" s="16">
        <v>33</v>
      </c>
      <c r="B36" s="16">
        <v>2029</v>
      </c>
      <c r="C36" s="16">
        <v>9</v>
      </c>
      <c r="D36" s="17">
        <f>가정!$C$6*MIN(1,MAX(0,(A36-가정!$C$28+1)/가정!$C$30))</f>
        <v>0</v>
      </c>
      <c r="E36" s="17">
        <f>IF(가정!$C$7&lt;30000,1,0)*MIN(1,MAX(0,(A36-가정!$C$29+1)/가정!$C$30))</f>
        <v>0</v>
      </c>
      <c r="F36" s="16">
        <f>IF(가정!$C$7&lt;30000,1,0)*IF(A36&gt;=가정!$C$29,1,0)</f>
        <v>0</v>
      </c>
      <c r="G36" s="17">
        <f>가정!$C$8*MIN(1,MAX(0,(A36-가정!$C$31+1)/가정!$C$32))</f>
        <v>0</v>
      </c>
      <c r="H36" s="18">
        <f>가정!$C$37+D36*가정!$C$14+E36*가정!$C$18</f>
        <v>-5.0000000000000001E-3</v>
      </c>
      <c r="I36" s="17">
        <f t="shared" si="5"/>
        <v>17.036037192006933</v>
      </c>
      <c r="J36" s="17">
        <f>I36*(1+G36*가정!$C$19)</f>
        <v>17.036037192006933</v>
      </c>
      <c r="K36" s="17">
        <f>I36*가정!$C$36*(1+G36*가정!$C$19*가정!$C$24)</f>
        <v>8.5180185960034667</v>
      </c>
      <c r="L36" s="18">
        <f>가정!$C$38+D36*가정!$C$12+E36*가정!$C$17</f>
        <v>0.111</v>
      </c>
      <c r="M36" s="18">
        <f>가정!$C$38+가정!$C$23*(L36-가정!$C$38)</f>
        <v>0.111</v>
      </c>
      <c r="N36" s="19">
        <f t="shared" si="6"/>
        <v>296.39628079930588</v>
      </c>
      <c r="O36" s="20">
        <f>K36+가정!$C$33*M36+N36*L36</f>
        <v>86.484005764726419</v>
      </c>
      <c r="P36" s="21">
        <f>가정!$C$39*(1+D36*가정!$C$13)</f>
        <v>1.2889999999999999</v>
      </c>
      <c r="Q36" s="21">
        <f>1+F36*가정!$C$15</f>
        <v>1</v>
      </c>
      <c r="R36" s="21">
        <f t="shared" ref="R36:R63" si="8">P36*Q36</f>
        <v>1.2889999999999999</v>
      </c>
      <c r="S36" s="20">
        <f t="shared" ref="S36:S63" si="9">O36*R36</f>
        <v>111.47788343073235</v>
      </c>
      <c r="T36" s="19">
        <f>IF(F36=1,가정!$C$16,가정!$C$40)</f>
        <v>31846</v>
      </c>
      <c r="U36" s="20">
        <f t="shared" ref="U36:U63" si="10">S36*T36/10000</f>
        <v>355.01246757351026</v>
      </c>
      <c r="V36" s="20">
        <f>U36/(1-가정!$C$41)*가정!$C$42</f>
        <v>373.69733428790556</v>
      </c>
      <c r="W36" s="19">
        <f>가정!$C$33+N36+K36</f>
        <v>710.9142993953094</v>
      </c>
      <c r="X36" s="19">
        <f t="shared" si="7"/>
        <v>920.91429939530883</v>
      </c>
      <c r="Y36" s="19">
        <f t="shared" ref="Y36:Y63" si="11">W36+X36</f>
        <v>1631.8285987906183</v>
      </c>
      <c r="Z36" s="20">
        <f t="shared" ref="Z36:Z63" si="12">O36*P36</f>
        <v>111.47788343073235</v>
      </c>
    </row>
    <row r="37" spans="1:26" x14ac:dyDescent="0.3">
      <c r="A37" s="16">
        <v>34</v>
      </c>
      <c r="B37" s="16">
        <v>2029</v>
      </c>
      <c r="C37" s="16">
        <v>10</v>
      </c>
      <c r="D37" s="17">
        <f>가정!$C$6*MIN(1,MAX(0,(A37-가정!$C$28+1)/가정!$C$30))</f>
        <v>0</v>
      </c>
      <c r="E37" s="17">
        <f>IF(가정!$C$7&lt;30000,1,0)*MIN(1,MAX(0,(A37-가정!$C$29+1)/가정!$C$30))</f>
        <v>0</v>
      </c>
      <c r="F37" s="16">
        <f>IF(가정!$C$7&lt;30000,1,0)*IF(A37&gt;=가정!$C$29,1,0)</f>
        <v>0</v>
      </c>
      <c r="G37" s="17">
        <f>가정!$C$8*MIN(1,MAX(0,(A37-가정!$C$31+1)/가정!$C$32))</f>
        <v>0</v>
      </c>
      <c r="H37" s="18">
        <f>가정!$C$37+D37*가정!$C$14+E37*가정!$C$18</f>
        <v>-5.0000000000000001E-3</v>
      </c>
      <c r="I37" s="17">
        <f t="shared" ref="I37:I63" si="13">I36*(1+H37)</f>
        <v>16.950857006046899</v>
      </c>
      <c r="J37" s="17">
        <f>I37*(1+G37*가정!$C$19)</f>
        <v>16.950857006046899</v>
      </c>
      <c r="K37" s="17">
        <f>I37*가정!$C$36*(1+G37*가정!$C$19*가정!$C$24)</f>
        <v>8.4754285030234495</v>
      </c>
      <c r="L37" s="18">
        <f>가정!$C$38+D37*가정!$C$12+E37*가정!$C$17</f>
        <v>0.111</v>
      </c>
      <c r="M37" s="18">
        <f>가정!$C$38+가정!$C$23*(L37-가정!$C$38)</f>
        <v>0.111</v>
      </c>
      <c r="N37" s="19">
        <f t="shared" ref="N37:N63" si="14">N36+K36</f>
        <v>304.91429939530934</v>
      </c>
      <c r="O37" s="20">
        <f>K37+가정!$C$33*M37+N37*L37</f>
        <v>87.386915735902789</v>
      </c>
      <c r="P37" s="21">
        <f>가정!$C$39*(1+D37*가정!$C$13)</f>
        <v>1.2889999999999999</v>
      </c>
      <c r="Q37" s="21">
        <f>1+F37*가정!$C$15</f>
        <v>1</v>
      </c>
      <c r="R37" s="21">
        <f t="shared" si="8"/>
        <v>1.2889999999999999</v>
      </c>
      <c r="S37" s="20">
        <f t="shared" si="9"/>
        <v>112.64173438357869</v>
      </c>
      <c r="T37" s="19">
        <f>IF(F37=1,가정!$C$16,가정!$C$40)</f>
        <v>31846</v>
      </c>
      <c r="U37" s="20">
        <f t="shared" si="10"/>
        <v>358.71886731794473</v>
      </c>
      <c r="V37" s="20">
        <f>U37/(1-가정!$C$41)*가정!$C$42</f>
        <v>377.59880770309974</v>
      </c>
      <c r="W37" s="19">
        <f>가정!$C$33+N37+K37</f>
        <v>719.38972789833281</v>
      </c>
      <c r="X37" s="19">
        <f t="shared" ref="X37:X63" si="15">X36+J37-K37</f>
        <v>929.38972789833235</v>
      </c>
      <c r="Y37" s="19">
        <f t="shared" si="11"/>
        <v>1648.7794557966652</v>
      </c>
      <c r="Z37" s="20">
        <f t="shared" si="12"/>
        <v>112.64173438357869</v>
      </c>
    </row>
    <row r="38" spans="1:26" x14ac:dyDescent="0.3">
      <c r="A38" s="16">
        <v>35</v>
      </c>
      <c r="B38" s="16">
        <v>2029</v>
      </c>
      <c r="C38" s="16">
        <v>11</v>
      </c>
      <c r="D38" s="17">
        <f>가정!$C$6*MIN(1,MAX(0,(A38-가정!$C$28+1)/가정!$C$30))</f>
        <v>0</v>
      </c>
      <c r="E38" s="17">
        <f>IF(가정!$C$7&lt;30000,1,0)*MIN(1,MAX(0,(A38-가정!$C$29+1)/가정!$C$30))</f>
        <v>0</v>
      </c>
      <c r="F38" s="16">
        <f>IF(가정!$C$7&lt;30000,1,0)*IF(A38&gt;=가정!$C$29,1,0)</f>
        <v>0</v>
      </c>
      <c r="G38" s="17">
        <f>가정!$C$8*MIN(1,MAX(0,(A38-가정!$C$31+1)/가정!$C$32))</f>
        <v>0</v>
      </c>
      <c r="H38" s="18">
        <f>가정!$C$37+D38*가정!$C$14+E38*가정!$C$18</f>
        <v>-5.0000000000000001E-3</v>
      </c>
      <c r="I38" s="17">
        <f t="shared" si="13"/>
        <v>16.866102721016663</v>
      </c>
      <c r="J38" s="17">
        <f>I38*(1+G38*가정!$C$19)</f>
        <v>16.866102721016663</v>
      </c>
      <c r="K38" s="17">
        <f>I38*가정!$C$36*(1+G38*가정!$C$19*가정!$C$24)</f>
        <v>8.4330513605083315</v>
      </c>
      <c r="L38" s="18">
        <f>가정!$C$38+D38*가정!$C$12+E38*가정!$C$17</f>
        <v>0.111</v>
      </c>
      <c r="M38" s="18">
        <f>가정!$C$38+가정!$C$23*(L38-가정!$C$38)</f>
        <v>0.111</v>
      </c>
      <c r="N38" s="19">
        <f t="shared" si="14"/>
        <v>313.38972789833281</v>
      </c>
      <c r="O38" s="20">
        <f>K38+가정!$C$33*M38+N38*L38</f>
        <v>88.285311157223276</v>
      </c>
      <c r="P38" s="21">
        <f>가정!$C$39*(1+D38*가정!$C$13)</f>
        <v>1.2889999999999999</v>
      </c>
      <c r="Q38" s="21">
        <f>1+F38*가정!$C$15</f>
        <v>1</v>
      </c>
      <c r="R38" s="21">
        <f t="shared" si="8"/>
        <v>1.2889999999999999</v>
      </c>
      <c r="S38" s="20">
        <f t="shared" si="9"/>
        <v>113.79976608166079</v>
      </c>
      <c r="T38" s="19">
        <f>IF(F38=1,가정!$C$16,가정!$C$40)</f>
        <v>31846</v>
      </c>
      <c r="U38" s="20">
        <f t="shared" si="10"/>
        <v>362.40673506365698</v>
      </c>
      <c r="V38" s="20">
        <f>U38/(1-가정!$C$41)*가정!$C$42</f>
        <v>381.4807737512179</v>
      </c>
      <c r="W38" s="19">
        <f>가정!$C$33+N38+K38</f>
        <v>727.82277925884114</v>
      </c>
      <c r="X38" s="19">
        <f t="shared" si="15"/>
        <v>937.82277925884068</v>
      </c>
      <c r="Y38" s="19">
        <f t="shared" si="11"/>
        <v>1665.6455585176818</v>
      </c>
      <c r="Z38" s="20">
        <f t="shared" si="12"/>
        <v>113.79976608166079</v>
      </c>
    </row>
    <row r="39" spans="1:26" x14ac:dyDescent="0.3">
      <c r="A39" s="22">
        <v>36</v>
      </c>
      <c r="B39" s="22">
        <v>2029</v>
      </c>
      <c r="C39" s="22">
        <v>12</v>
      </c>
      <c r="D39" s="23">
        <f>가정!$C$6*MIN(1,MAX(0,(A39-가정!$C$28+1)/가정!$C$30))</f>
        <v>0</v>
      </c>
      <c r="E39" s="23">
        <f>IF(가정!$C$7&lt;30000,1,0)*MIN(1,MAX(0,(A39-가정!$C$29+1)/가정!$C$30))</f>
        <v>0</v>
      </c>
      <c r="F39" s="22">
        <f>IF(가정!$C$7&lt;30000,1,0)*IF(A39&gt;=가정!$C$29,1,0)</f>
        <v>0</v>
      </c>
      <c r="G39" s="23">
        <f>가정!$C$8*MIN(1,MAX(0,(A39-가정!$C$31+1)/가정!$C$32))</f>
        <v>0</v>
      </c>
      <c r="H39" s="24">
        <f>가정!$C$37+D39*가정!$C$14+E39*가정!$C$18</f>
        <v>-5.0000000000000001E-3</v>
      </c>
      <c r="I39" s="23">
        <f t="shared" si="13"/>
        <v>16.781772207411578</v>
      </c>
      <c r="J39" s="23">
        <f>I39*(1+G39*가정!$C$19)</f>
        <v>16.781772207411578</v>
      </c>
      <c r="K39" s="23">
        <f>I39*가정!$C$36*(1+G39*가정!$C$19*가정!$C$24)</f>
        <v>8.3908861037057889</v>
      </c>
      <c r="L39" s="24">
        <f>가정!$C$38+D39*가정!$C$12+E39*가정!$C$17</f>
        <v>0.111</v>
      </c>
      <c r="M39" s="24">
        <f>가정!$C$38+가정!$C$23*(L39-가정!$C$38)</f>
        <v>0.111</v>
      </c>
      <c r="N39" s="25">
        <f t="shared" si="14"/>
        <v>321.82277925884114</v>
      </c>
      <c r="O39" s="26">
        <f>K39+가정!$C$33*M39+N39*L39</f>
        <v>89.179214601437167</v>
      </c>
      <c r="P39" s="27">
        <f>가정!$C$39*(1+D39*가정!$C$13)</f>
        <v>1.2889999999999999</v>
      </c>
      <c r="Q39" s="27">
        <f>1+F39*가정!$C$15</f>
        <v>1</v>
      </c>
      <c r="R39" s="27">
        <f t="shared" si="8"/>
        <v>1.2889999999999999</v>
      </c>
      <c r="S39" s="26">
        <f t="shared" si="9"/>
        <v>114.95200762125251</v>
      </c>
      <c r="T39" s="25">
        <f>IF(F39=1,가정!$C$16,가정!$C$40)</f>
        <v>31846</v>
      </c>
      <c r="U39" s="26">
        <f t="shared" si="10"/>
        <v>366.07616347064072</v>
      </c>
      <c r="V39" s="26">
        <f>U39/(1-가정!$C$41)*가정!$C$42</f>
        <v>385.34332996909552</v>
      </c>
      <c r="W39" s="25">
        <f>가정!$C$33+N39+K39</f>
        <v>736.21366536254698</v>
      </c>
      <c r="X39" s="25">
        <f t="shared" si="15"/>
        <v>946.21366536254641</v>
      </c>
      <c r="Y39" s="25">
        <f t="shared" si="11"/>
        <v>1682.4273307250933</v>
      </c>
      <c r="Z39" s="26">
        <f t="shared" si="12"/>
        <v>114.95200762125251</v>
      </c>
    </row>
    <row r="40" spans="1:26" x14ac:dyDescent="0.3">
      <c r="A40" s="16">
        <v>37</v>
      </c>
      <c r="B40" s="16">
        <v>2030</v>
      </c>
      <c r="C40" s="16">
        <v>1</v>
      </c>
      <c r="D40" s="17">
        <f>가정!$C$6*MIN(1,MAX(0,(A40-가정!$C$28+1)/가정!$C$30))</f>
        <v>0</v>
      </c>
      <c r="E40" s="17">
        <f>IF(가정!$C$7&lt;30000,1,0)*MIN(1,MAX(0,(A40-가정!$C$29+1)/가정!$C$30))</f>
        <v>0</v>
      </c>
      <c r="F40" s="16">
        <f>IF(가정!$C$7&lt;30000,1,0)*IF(A40&gt;=가정!$C$29,1,0)</f>
        <v>0</v>
      </c>
      <c r="G40" s="17">
        <f>가정!$C$8*MIN(1,MAX(0,(A40-가정!$C$31+1)/가정!$C$32))</f>
        <v>0</v>
      </c>
      <c r="H40" s="18">
        <f>가정!$C$37+D40*가정!$C$14+E40*가정!$C$18</f>
        <v>-5.0000000000000001E-3</v>
      </c>
      <c r="I40" s="17">
        <f t="shared" si="13"/>
        <v>16.697863346374518</v>
      </c>
      <c r="J40" s="17">
        <f>I40*(1+G40*가정!$C$19)</f>
        <v>16.697863346374518</v>
      </c>
      <c r="K40" s="17">
        <f>I40*가정!$C$36*(1+G40*가정!$C$19*가정!$C$24)</f>
        <v>8.3489316731872592</v>
      </c>
      <c r="L40" s="18">
        <f>가정!$C$38+D40*가정!$C$12+E40*가정!$C$17</f>
        <v>0.111</v>
      </c>
      <c r="M40" s="18">
        <f>가정!$C$38+가정!$C$23*(L40-가정!$C$38)</f>
        <v>0.111</v>
      </c>
      <c r="N40" s="19">
        <f t="shared" si="14"/>
        <v>330.21366536254692</v>
      </c>
      <c r="O40" s="20">
        <f>K40+가정!$C$33*M40+N40*L40</f>
        <v>90.068648528429975</v>
      </c>
      <c r="P40" s="21">
        <f>가정!$C$39*(1+D40*가정!$C$13)</f>
        <v>1.2889999999999999</v>
      </c>
      <c r="Q40" s="21">
        <f>1+F40*가정!$C$15</f>
        <v>1</v>
      </c>
      <c r="R40" s="21">
        <f t="shared" si="8"/>
        <v>1.2889999999999999</v>
      </c>
      <c r="S40" s="20">
        <f t="shared" si="9"/>
        <v>116.09848795314623</v>
      </c>
      <c r="T40" s="19">
        <f>IF(F40=1,가정!$C$16,가정!$C$40)</f>
        <v>31846</v>
      </c>
      <c r="U40" s="20">
        <f t="shared" si="10"/>
        <v>369.72724473558947</v>
      </c>
      <c r="V40" s="20">
        <f>U40/(1-가정!$C$41)*가정!$C$42</f>
        <v>389.18657340588368</v>
      </c>
      <c r="W40" s="19">
        <f>가정!$C$33+N40+K40</f>
        <v>744.56259703573414</v>
      </c>
      <c r="X40" s="19">
        <f t="shared" si="15"/>
        <v>954.56259703573369</v>
      </c>
      <c r="Y40" s="19">
        <f t="shared" si="11"/>
        <v>1699.1251940714678</v>
      </c>
      <c r="Z40" s="20">
        <f t="shared" si="12"/>
        <v>116.09848795314623</v>
      </c>
    </row>
    <row r="41" spans="1:26" x14ac:dyDescent="0.3">
      <c r="A41" s="16">
        <v>38</v>
      </c>
      <c r="B41" s="16">
        <v>2030</v>
      </c>
      <c r="C41" s="16">
        <v>2</v>
      </c>
      <c r="D41" s="17">
        <f>가정!$C$6*MIN(1,MAX(0,(A41-가정!$C$28+1)/가정!$C$30))</f>
        <v>0</v>
      </c>
      <c r="E41" s="17">
        <f>IF(가정!$C$7&lt;30000,1,0)*MIN(1,MAX(0,(A41-가정!$C$29+1)/가정!$C$30))</f>
        <v>0</v>
      </c>
      <c r="F41" s="16">
        <f>IF(가정!$C$7&lt;30000,1,0)*IF(A41&gt;=가정!$C$29,1,0)</f>
        <v>0</v>
      </c>
      <c r="G41" s="17">
        <f>가정!$C$8*MIN(1,MAX(0,(A41-가정!$C$31+1)/가정!$C$32))</f>
        <v>0</v>
      </c>
      <c r="H41" s="18">
        <f>가정!$C$37+D41*가정!$C$14+E41*가정!$C$18</f>
        <v>-5.0000000000000001E-3</v>
      </c>
      <c r="I41" s="17">
        <f t="shared" si="13"/>
        <v>16.614374029642647</v>
      </c>
      <c r="J41" s="17">
        <f>I41*(1+G41*가정!$C$19)</f>
        <v>16.614374029642647</v>
      </c>
      <c r="K41" s="17">
        <f>I41*가정!$C$36*(1+G41*가정!$C$19*가정!$C$24)</f>
        <v>8.3071870148213236</v>
      </c>
      <c r="L41" s="18">
        <f>가정!$C$38+D41*가정!$C$12+E41*가정!$C$17</f>
        <v>0.111</v>
      </c>
      <c r="M41" s="18">
        <f>가정!$C$38+가정!$C$23*(L41-가정!$C$38)</f>
        <v>0.111</v>
      </c>
      <c r="N41" s="19">
        <f t="shared" si="14"/>
        <v>338.5625970357342</v>
      </c>
      <c r="O41" s="20">
        <f>K41+가정!$C$33*M41+N41*L41</f>
        <v>90.953635285787826</v>
      </c>
      <c r="P41" s="21">
        <f>가정!$C$39*(1+D41*가정!$C$13)</f>
        <v>1.2889999999999999</v>
      </c>
      <c r="Q41" s="21">
        <f>1+F41*가정!$C$15</f>
        <v>1</v>
      </c>
      <c r="R41" s="21">
        <f t="shared" si="8"/>
        <v>1.2889999999999999</v>
      </c>
      <c r="S41" s="20">
        <f t="shared" si="9"/>
        <v>117.2392358833805</v>
      </c>
      <c r="T41" s="19">
        <f>IF(F41=1,가정!$C$16,가정!$C$40)</f>
        <v>31846</v>
      </c>
      <c r="U41" s="20">
        <f t="shared" si="10"/>
        <v>373.36007059421354</v>
      </c>
      <c r="V41" s="20">
        <f>U41/(1-가정!$C$41)*가정!$C$42</f>
        <v>393.01060062548794</v>
      </c>
      <c r="W41" s="19">
        <f>가정!$C$33+N41+K41</f>
        <v>752.8697840505555</v>
      </c>
      <c r="X41" s="19">
        <f t="shared" si="15"/>
        <v>962.86978405055504</v>
      </c>
      <c r="Y41" s="19">
        <f t="shared" si="11"/>
        <v>1715.7395681011105</v>
      </c>
      <c r="Z41" s="20">
        <f t="shared" si="12"/>
        <v>117.2392358833805</v>
      </c>
    </row>
    <row r="42" spans="1:26" x14ac:dyDescent="0.3">
      <c r="A42" s="16">
        <v>39</v>
      </c>
      <c r="B42" s="16">
        <v>2030</v>
      </c>
      <c r="C42" s="16">
        <v>3</v>
      </c>
      <c r="D42" s="17">
        <f>가정!$C$6*MIN(1,MAX(0,(A42-가정!$C$28+1)/가정!$C$30))</f>
        <v>0</v>
      </c>
      <c r="E42" s="17">
        <f>IF(가정!$C$7&lt;30000,1,0)*MIN(1,MAX(0,(A42-가정!$C$29+1)/가정!$C$30))</f>
        <v>0</v>
      </c>
      <c r="F42" s="16">
        <f>IF(가정!$C$7&lt;30000,1,0)*IF(A42&gt;=가정!$C$29,1,0)</f>
        <v>0</v>
      </c>
      <c r="G42" s="17">
        <f>가정!$C$8*MIN(1,MAX(0,(A42-가정!$C$31+1)/가정!$C$32))</f>
        <v>0</v>
      </c>
      <c r="H42" s="18">
        <f>가정!$C$37+D42*가정!$C$14+E42*가정!$C$18</f>
        <v>-5.0000000000000001E-3</v>
      </c>
      <c r="I42" s="17">
        <f t="shared" si="13"/>
        <v>16.531302159494434</v>
      </c>
      <c r="J42" s="17">
        <f>I42*(1+G42*가정!$C$19)</f>
        <v>16.531302159494434</v>
      </c>
      <c r="K42" s="17">
        <f>I42*가정!$C$36*(1+G42*가정!$C$19*가정!$C$24)</f>
        <v>8.2656510797472169</v>
      </c>
      <c r="L42" s="18">
        <f>가정!$C$38+D42*가정!$C$12+E42*가정!$C$17</f>
        <v>0.111</v>
      </c>
      <c r="M42" s="18">
        <f>가정!$C$38+가정!$C$23*(L42-가정!$C$38)</f>
        <v>0.111</v>
      </c>
      <c r="N42" s="19">
        <f t="shared" si="14"/>
        <v>346.8697840505555</v>
      </c>
      <c r="O42" s="20">
        <f>K42+가정!$C$33*M42+N42*L42</f>
        <v>91.834197109358882</v>
      </c>
      <c r="P42" s="21">
        <f>가정!$C$39*(1+D42*가정!$C$13)</f>
        <v>1.2889999999999999</v>
      </c>
      <c r="Q42" s="21">
        <f>1+F42*가정!$C$15</f>
        <v>1</v>
      </c>
      <c r="R42" s="21">
        <f t="shared" si="8"/>
        <v>1.2889999999999999</v>
      </c>
      <c r="S42" s="20">
        <f t="shared" si="9"/>
        <v>118.37428007396359</v>
      </c>
      <c r="T42" s="19">
        <f>IF(F42=1,가정!$C$16,가정!$C$40)</f>
        <v>31846</v>
      </c>
      <c r="U42" s="20">
        <f t="shared" si="10"/>
        <v>376.9747323235444</v>
      </c>
      <c r="V42" s="20">
        <f>U42/(1-가정!$C$41)*가정!$C$42</f>
        <v>396.81550770899412</v>
      </c>
      <c r="W42" s="19">
        <f>가정!$C$33+N42+K42</f>
        <v>761.13543513030277</v>
      </c>
      <c r="X42" s="19">
        <f t="shared" si="15"/>
        <v>971.1354351303022</v>
      </c>
      <c r="Y42" s="19">
        <f t="shared" si="11"/>
        <v>1732.2708702606051</v>
      </c>
      <c r="Z42" s="20">
        <f t="shared" si="12"/>
        <v>118.37428007396359</v>
      </c>
    </row>
    <row r="43" spans="1:26" x14ac:dyDescent="0.3">
      <c r="A43" s="16">
        <v>40</v>
      </c>
      <c r="B43" s="16">
        <v>2030</v>
      </c>
      <c r="C43" s="16">
        <v>4</v>
      </c>
      <c r="D43" s="17">
        <f>가정!$C$6*MIN(1,MAX(0,(A43-가정!$C$28+1)/가정!$C$30))</f>
        <v>0</v>
      </c>
      <c r="E43" s="17">
        <f>IF(가정!$C$7&lt;30000,1,0)*MIN(1,MAX(0,(A43-가정!$C$29+1)/가정!$C$30))</f>
        <v>0</v>
      </c>
      <c r="F43" s="16">
        <f>IF(가정!$C$7&lt;30000,1,0)*IF(A43&gt;=가정!$C$29,1,0)</f>
        <v>0</v>
      </c>
      <c r="G43" s="17">
        <f>가정!$C$8*MIN(1,MAX(0,(A43-가정!$C$31+1)/가정!$C$32))</f>
        <v>0</v>
      </c>
      <c r="H43" s="18">
        <f>가정!$C$37+D43*가정!$C$14+E43*가정!$C$18</f>
        <v>-5.0000000000000001E-3</v>
      </c>
      <c r="I43" s="17">
        <f t="shared" si="13"/>
        <v>16.44864564869696</v>
      </c>
      <c r="J43" s="17">
        <f>I43*(1+G43*가정!$C$19)</f>
        <v>16.44864564869696</v>
      </c>
      <c r="K43" s="17">
        <f>I43*가정!$C$36*(1+G43*가정!$C$19*가정!$C$24)</f>
        <v>8.2243228243484801</v>
      </c>
      <c r="L43" s="18">
        <f>가정!$C$38+D43*가정!$C$12+E43*가정!$C$17</f>
        <v>0.111</v>
      </c>
      <c r="M43" s="18">
        <f>가정!$C$38+가정!$C$23*(L43-가정!$C$38)</f>
        <v>0.111</v>
      </c>
      <c r="N43" s="19">
        <f t="shared" si="14"/>
        <v>355.13543513030271</v>
      </c>
      <c r="O43" s="20">
        <f>K43+가정!$C$33*M43+N43*L43</f>
        <v>92.71035612381209</v>
      </c>
      <c r="P43" s="21">
        <f>가정!$C$39*(1+D43*가정!$C$13)</f>
        <v>1.2889999999999999</v>
      </c>
      <c r="Q43" s="21">
        <f>1+F43*가정!$C$15</f>
        <v>1</v>
      </c>
      <c r="R43" s="21">
        <f t="shared" si="8"/>
        <v>1.2889999999999999</v>
      </c>
      <c r="S43" s="20">
        <f t="shared" si="9"/>
        <v>119.50364904359378</v>
      </c>
      <c r="T43" s="19">
        <f>IF(F43=1,가정!$C$16,가정!$C$40)</f>
        <v>31846</v>
      </c>
      <c r="U43" s="20">
        <f t="shared" si="10"/>
        <v>380.57132074422873</v>
      </c>
      <c r="V43" s="20">
        <f>U43/(1-가정!$C$41)*가정!$C$42</f>
        <v>400.60139025708287</v>
      </c>
      <c r="W43" s="19">
        <f>가정!$C$33+N43+K43</f>
        <v>769.35975795465129</v>
      </c>
      <c r="X43" s="19">
        <f t="shared" si="15"/>
        <v>979.3597579546506</v>
      </c>
      <c r="Y43" s="19">
        <f t="shared" si="11"/>
        <v>1748.7195159093019</v>
      </c>
      <c r="Z43" s="20">
        <f t="shared" si="12"/>
        <v>119.50364904359378</v>
      </c>
    </row>
    <row r="44" spans="1:26" x14ac:dyDescent="0.3">
      <c r="A44" s="16">
        <v>41</v>
      </c>
      <c r="B44" s="16">
        <v>2030</v>
      </c>
      <c r="C44" s="16">
        <v>5</v>
      </c>
      <c r="D44" s="17">
        <f>가정!$C$6*MIN(1,MAX(0,(A44-가정!$C$28+1)/가정!$C$30))</f>
        <v>0</v>
      </c>
      <c r="E44" s="17">
        <f>IF(가정!$C$7&lt;30000,1,0)*MIN(1,MAX(0,(A44-가정!$C$29+1)/가정!$C$30))</f>
        <v>0</v>
      </c>
      <c r="F44" s="16">
        <f>IF(가정!$C$7&lt;30000,1,0)*IF(A44&gt;=가정!$C$29,1,0)</f>
        <v>0</v>
      </c>
      <c r="G44" s="17">
        <f>가정!$C$8*MIN(1,MAX(0,(A44-가정!$C$31+1)/가정!$C$32))</f>
        <v>0</v>
      </c>
      <c r="H44" s="18">
        <f>가정!$C$37+D44*가정!$C$14+E44*가정!$C$18</f>
        <v>-5.0000000000000001E-3</v>
      </c>
      <c r="I44" s="17">
        <f t="shared" si="13"/>
        <v>16.366402420453475</v>
      </c>
      <c r="J44" s="17">
        <f>I44*(1+G44*가정!$C$19)</f>
        <v>16.366402420453475</v>
      </c>
      <c r="K44" s="17">
        <f>I44*가정!$C$36*(1+G44*가정!$C$19*가정!$C$24)</f>
        <v>8.1832012102267377</v>
      </c>
      <c r="L44" s="18">
        <f>가정!$C$38+D44*가정!$C$12+E44*가정!$C$17</f>
        <v>0.111</v>
      </c>
      <c r="M44" s="18">
        <f>가정!$C$38+가정!$C$23*(L44-가정!$C$38)</f>
        <v>0.111</v>
      </c>
      <c r="N44" s="19">
        <f t="shared" si="14"/>
        <v>363.35975795465117</v>
      </c>
      <c r="O44" s="20">
        <f>K44+가정!$C$33*M44+N44*L44</f>
        <v>93.582134343193019</v>
      </c>
      <c r="P44" s="21">
        <f>가정!$C$39*(1+D44*가정!$C$13)</f>
        <v>1.2889999999999999</v>
      </c>
      <c r="Q44" s="21">
        <f>1+F44*가정!$C$15</f>
        <v>1</v>
      </c>
      <c r="R44" s="21">
        <f t="shared" si="8"/>
        <v>1.2889999999999999</v>
      </c>
      <c r="S44" s="20">
        <f t="shared" si="9"/>
        <v>120.62737116837579</v>
      </c>
      <c r="T44" s="19">
        <f>IF(F44=1,가정!$C$16,가정!$C$40)</f>
        <v>31846</v>
      </c>
      <c r="U44" s="20">
        <f t="shared" si="10"/>
        <v>384.14992622280954</v>
      </c>
      <c r="V44" s="20">
        <f>U44/(1-가정!$C$41)*가정!$C$42</f>
        <v>404.36834339243109</v>
      </c>
      <c r="W44" s="19">
        <f>가정!$C$33+N44+K44</f>
        <v>777.54295916487786</v>
      </c>
      <c r="X44" s="19">
        <f t="shared" si="15"/>
        <v>987.5429591648774</v>
      </c>
      <c r="Y44" s="19">
        <f t="shared" si="11"/>
        <v>1765.0859183297553</v>
      </c>
      <c r="Z44" s="20">
        <f t="shared" si="12"/>
        <v>120.62737116837579</v>
      </c>
    </row>
    <row r="45" spans="1:26" x14ac:dyDescent="0.3">
      <c r="A45" s="16">
        <v>42</v>
      </c>
      <c r="B45" s="16">
        <v>2030</v>
      </c>
      <c r="C45" s="16">
        <v>6</v>
      </c>
      <c r="D45" s="17">
        <f>가정!$C$6*MIN(1,MAX(0,(A45-가정!$C$28+1)/가정!$C$30))</f>
        <v>0</v>
      </c>
      <c r="E45" s="17">
        <f>IF(가정!$C$7&lt;30000,1,0)*MIN(1,MAX(0,(A45-가정!$C$29+1)/가정!$C$30))</f>
        <v>0</v>
      </c>
      <c r="F45" s="16">
        <f>IF(가정!$C$7&lt;30000,1,0)*IF(A45&gt;=가정!$C$29,1,0)</f>
        <v>0</v>
      </c>
      <c r="G45" s="17">
        <f>가정!$C$8*MIN(1,MAX(0,(A45-가정!$C$31+1)/가정!$C$32))</f>
        <v>0</v>
      </c>
      <c r="H45" s="18">
        <f>가정!$C$37+D45*가정!$C$14+E45*가정!$C$18</f>
        <v>-5.0000000000000001E-3</v>
      </c>
      <c r="I45" s="17">
        <f t="shared" si="13"/>
        <v>16.284570408351208</v>
      </c>
      <c r="J45" s="17">
        <f>I45*(1+G45*가정!$C$19)</f>
        <v>16.284570408351208</v>
      </c>
      <c r="K45" s="17">
        <f>I45*가정!$C$36*(1+G45*가정!$C$19*가정!$C$24)</f>
        <v>8.1422852041756038</v>
      </c>
      <c r="L45" s="18">
        <f>가정!$C$38+D45*가정!$C$12+E45*가정!$C$17</f>
        <v>0.111</v>
      </c>
      <c r="M45" s="18">
        <f>가정!$C$38+가정!$C$23*(L45-가정!$C$38)</f>
        <v>0.111</v>
      </c>
      <c r="N45" s="19">
        <f t="shared" si="14"/>
        <v>371.54295916487791</v>
      </c>
      <c r="O45" s="20">
        <f>K45+가정!$C$33*M45+N45*L45</f>
        <v>94.449553671477062</v>
      </c>
      <c r="P45" s="21">
        <f>가정!$C$39*(1+D45*가정!$C$13)</f>
        <v>1.2889999999999999</v>
      </c>
      <c r="Q45" s="21">
        <f>1+F45*가정!$C$15</f>
        <v>1</v>
      </c>
      <c r="R45" s="21">
        <f t="shared" si="8"/>
        <v>1.2889999999999999</v>
      </c>
      <c r="S45" s="20">
        <f t="shared" si="9"/>
        <v>121.74547468253392</v>
      </c>
      <c r="T45" s="19">
        <f>IF(F45=1,가정!$C$16,가정!$C$40)</f>
        <v>31846</v>
      </c>
      <c r="U45" s="20">
        <f t="shared" si="10"/>
        <v>387.71063867399755</v>
      </c>
      <c r="V45" s="20">
        <f>U45/(1-가정!$C$41)*가정!$C$42</f>
        <v>408.11646176210269</v>
      </c>
      <c r="W45" s="19">
        <f>가정!$C$33+N45+K45</f>
        <v>785.68524436905341</v>
      </c>
      <c r="X45" s="19">
        <f t="shared" si="15"/>
        <v>995.68524436905307</v>
      </c>
      <c r="Y45" s="19">
        <f t="shared" si="11"/>
        <v>1781.3704887381064</v>
      </c>
      <c r="Z45" s="20">
        <f t="shared" si="12"/>
        <v>121.74547468253392</v>
      </c>
    </row>
    <row r="46" spans="1:26" x14ac:dyDescent="0.3">
      <c r="A46" s="16">
        <v>43</v>
      </c>
      <c r="B46" s="16">
        <v>2030</v>
      </c>
      <c r="C46" s="16">
        <v>7</v>
      </c>
      <c r="D46" s="17">
        <f>가정!$C$6*MIN(1,MAX(0,(A46-가정!$C$28+1)/가정!$C$30))</f>
        <v>0</v>
      </c>
      <c r="E46" s="17">
        <f>IF(가정!$C$7&lt;30000,1,0)*MIN(1,MAX(0,(A46-가정!$C$29+1)/가정!$C$30))</f>
        <v>0</v>
      </c>
      <c r="F46" s="16">
        <f>IF(가정!$C$7&lt;30000,1,0)*IF(A46&gt;=가정!$C$29,1,0)</f>
        <v>0</v>
      </c>
      <c r="G46" s="17">
        <f>가정!$C$8*MIN(1,MAX(0,(A46-가정!$C$31+1)/가정!$C$32))</f>
        <v>0</v>
      </c>
      <c r="H46" s="18">
        <f>가정!$C$37+D46*가정!$C$14+E46*가정!$C$18</f>
        <v>-5.0000000000000001E-3</v>
      </c>
      <c r="I46" s="17">
        <f t="shared" si="13"/>
        <v>16.203147556309453</v>
      </c>
      <c r="J46" s="17">
        <f>I46*(1+G46*가정!$C$19)</f>
        <v>16.203147556309453</v>
      </c>
      <c r="K46" s="17">
        <f>I46*가정!$C$36*(1+G46*가정!$C$19*가정!$C$24)</f>
        <v>8.1015737781547266</v>
      </c>
      <c r="L46" s="18">
        <f>가정!$C$38+D46*가정!$C$12+E46*가정!$C$17</f>
        <v>0.111</v>
      </c>
      <c r="M46" s="18">
        <f>가정!$C$38+가정!$C$23*(L46-가정!$C$38)</f>
        <v>0.111</v>
      </c>
      <c r="N46" s="19">
        <f t="shared" si="14"/>
        <v>379.68524436905352</v>
      </c>
      <c r="O46" s="20">
        <f>K46+가정!$C$33*M46+N46*L46</f>
        <v>95.312635903119684</v>
      </c>
      <c r="P46" s="21">
        <f>가정!$C$39*(1+D46*가정!$C$13)</f>
        <v>1.2889999999999999</v>
      </c>
      <c r="Q46" s="21">
        <f>1+F46*가정!$C$15</f>
        <v>1</v>
      </c>
      <c r="R46" s="21">
        <f t="shared" si="8"/>
        <v>1.2889999999999999</v>
      </c>
      <c r="S46" s="20">
        <f t="shared" si="9"/>
        <v>122.85798767912127</v>
      </c>
      <c r="T46" s="19">
        <f>IF(F46=1,가정!$C$16,가정!$C$40)</f>
        <v>31846</v>
      </c>
      <c r="U46" s="20">
        <f t="shared" si="10"/>
        <v>391.25354756292955</v>
      </c>
      <c r="V46" s="20">
        <f>U46/(1-가정!$C$41)*가정!$C$42</f>
        <v>411.84583953992586</v>
      </c>
      <c r="W46" s="19">
        <f>가정!$C$33+N46+K46</f>
        <v>793.78681814720824</v>
      </c>
      <c r="X46" s="19">
        <f t="shared" si="15"/>
        <v>1003.7868181472078</v>
      </c>
      <c r="Y46" s="19">
        <f t="shared" si="11"/>
        <v>1797.573636294416</v>
      </c>
      <c r="Z46" s="20">
        <f t="shared" si="12"/>
        <v>122.85798767912127</v>
      </c>
    </row>
    <row r="47" spans="1:26" x14ac:dyDescent="0.3">
      <c r="A47" s="16">
        <v>44</v>
      </c>
      <c r="B47" s="16">
        <v>2030</v>
      </c>
      <c r="C47" s="16">
        <v>8</v>
      </c>
      <c r="D47" s="17">
        <f>가정!$C$6*MIN(1,MAX(0,(A47-가정!$C$28+1)/가정!$C$30))</f>
        <v>0</v>
      </c>
      <c r="E47" s="17">
        <f>IF(가정!$C$7&lt;30000,1,0)*MIN(1,MAX(0,(A47-가정!$C$29+1)/가정!$C$30))</f>
        <v>0</v>
      </c>
      <c r="F47" s="16">
        <f>IF(가정!$C$7&lt;30000,1,0)*IF(A47&gt;=가정!$C$29,1,0)</f>
        <v>0</v>
      </c>
      <c r="G47" s="17">
        <f>가정!$C$8*MIN(1,MAX(0,(A47-가정!$C$31+1)/가정!$C$32))</f>
        <v>0</v>
      </c>
      <c r="H47" s="18">
        <f>가정!$C$37+D47*가정!$C$14+E47*가정!$C$18</f>
        <v>-5.0000000000000001E-3</v>
      </c>
      <c r="I47" s="17">
        <f t="shared" si="13"/>
        <v>16.122131818527905</v>
      </c>
      <c r="J47" s="17">
        <f>I47*(1+G47*가정!$C$19)</f>
        <v>16.122131818527905</v>
      </c>
      <c r="K47" s="17">
        <f>I47*가정!$C$36*(1+G47*가정!$C$19*가정!$C$24)</f>
        <v>8.0610659092639523</v>
      </c>
      <c r="L47" s="18">
        <f>가정!$C$38+D47*가정!$C$12+E47*가정!$C$17</f>
        <v>0.111</v>
      </c>
      <c r="M47" s="18">
        <f>가정!$C$38+가정!$C$23*(L47-가정!$C$38)</f>
        <v>0.111</v>
      </c>
      <c r="N47" s="19">
        <f t="shared" si="14"/>
        <v>387.78681814720824</v>
      </c>
      <c r="O47" s="20">
        <f>K47+가정!$C$33*M47+N47*L47</f>
        <v>96.171402723604075</v>
      </c>
      <c r="P47" s="21">
        <f>가정!$C$39*(1+D47*가정!$C$13)</f>
        <v>1.2889999999999999</v>
      </c>
      <c r="Q47" s="21">
        <f>1+F47*가정!$C$15</f>
        <v>1</v>
      </c>
      <c r="R47" s="21">
        <f t="shared" si="8"/>
        <v>1.2889999999999999</v>
      </c>
      <c r="S47" s="20">
        <f t="shared" si="9"/>
        <v>123.96493811072564</v>
      </c>
      <c r="T47" s="19">
        <f>IF(F47=1,가정!$C$16,가정!$C$40)</f>
        <v>31846</v>
      </c>
      <c r="U47" s="20">
        <f t="shared" si="10"/>
        <v>394.77874190741687</v>
      </c>
      <c r="V47" s="20">
        <f>U47/(1-가정!$C$41)*가정!$C$42</f>
        <v>415.55657042885986</v>
      </c>
      <c r="W47" s="19">
        <f>가정!$C$33+N47+K47</f>
        <v>801.84788405647214</v>
      </c>
      <c r="X47" s="19">
        <f t="shared" si="15"/>
        <v>1011.8478840564718</v>
      </c>
      <c r="Y47" s="19">
        <f t="shared" si="11"/>
        <v>1813.6957681129438</v>
      </c>
      <c r="Z47" s="20">
        <f t="shared" si="12"/>
        <v>123.96493811072564</v>
      </c>
    </row>
    <row r="48" spans="1:26" x14ac:dyDescent="0.3">
      <c r="A48" s="16">
        <v>45</v>
      </c>
      <c r="B48" s="16">
        <v>2030</v>
      </c>
      <c r="C48" s="16">
        <v>9</v>
      </c>
      <c r="D48" s="17">
        <f>가정!$C$6*MIN(1,MAX(0,(A48-가정!$C$28+1)/가정!$C$30))</f>
        <v>0</v>
      </c>
      <c r="E48" s="17">
        <f>IF(가정!$C$7&lt;30000,1,0)*MIN(1,MAX(0,(A48-가정!$C$29+1)/가정!$C$30))</f>
        <v>0</v>
      </c>
      <c r="F48" s="16">
        <f>IF(가정!$C$7&lt;30000,1,0)*IF(A48&gt;=가정!$C$29,1,0)</f>
        <v>0</v>
      </c>
      <c r="G48" s="17">
        <f>가정!$C$8*MIN(1,MAX(0,(A48-가정!$C$31+1)/가정!$C$32))</f>
        <v>0</v>
      </c>
      <c r="H48" s="18">
        <f>가정!$C$37+D48*가정!$C$14+E48*가정!$C$18</f>
        <v>-5.0000000000000001E-3</v>
      </c>
      <c r="I48" s="17">
        <f t="shared" si="13"/>
        <v>16.041521159435266</v>
      </c>
      <c r="J48" s="17">
        <f>I48*(1+G48*가정!$C$19)</f>
        <v>16.041521159435266</v>
      </c>
      <c r="K48" s="17">
        <f>I48*가정!$C$36*(1+G48*가정!$C$19*가정!$C$24)</f>
        <v>8.0207605797176331</v>
      </c>
      <c r="L48" s="18">
        <f>가정!$C$38+D48*가정!$C$12+E48*가정!$C$17</f>
        <v>0.111</v>
      </c>
      <c r="M48" s="18">
        <f>가정!$C$38+가정!$C$23*(L48-가정!$C$38)</f>
        <v>0.111</v>
      </c>
      <c r="N48" s="19">
        <f t="shared" si="14"/>
        <v>395.8478840564722</v>
      </c>
      <c r="O48" s="20">
        <f>K48+가정!$C$33*M48+N48*L48</f>
        <v>97.025875709986053</v>
      </c>
      <c r="P48" s="21">
        <f>가정!$C$39*(1+D48*가정!$C$13)</f>
        <v>1.2889999999999999</v>
      </c>
      <c r="Q48" s="21">
        <f>1+F48*가정!$C$15</f>
        <v>1</v>
      </c>
      <c r="R48" s="21">
        <f t="shared" si="8"/>
        <v>1.2889999999999999</v>
      </c>
      <c r="S48" s="20">
        <f t="shared" si="9"/>
        <v>125.06635379017202</v>
      </c>
      <c r="T48" s="19">
        <f>IF(F48=1,가정!$C$16,가정!$C$40)</f>
        <v>31846</v>
      </c>
      <c r="U48" s="20">
        <f t="shared" si="10"/>
        <v>398.28631028018179</v>
      </c>
      <c r="V48" s="20">
        <f>U48/(1-가정!$C$41)*가정!$C$42</f>
        <v>419.24874766334926</v>
      </c>
      <c r="W48" s="19">
        <f>가정!$C$33+N48+K48</f>
        <v>809.86864463618974</v>
      </c>
      <c r="X48" s="19">
        <f t="shared" si="15"/>
        <v>1019.8686446361895</v>
      </c>
      <c r="Y48" s="19">
        <f t="shared" si="11"/>
        <v>1829.7372892723793</v>
      </c>
      <c r="Z48" s="20">
        <f t="shared" si="12"/>
        <v>125.06635379017202</v>
      </c>
    </row>
    <row r="49" spans="1:26" x14ac:dyDescent="0.3">
      <c r="A49" s="16">
        <v>46</v>
      </c>
      <c r="B49" s="16">
        <v>2030</v>
      </c>
      <c r="C49" s="16">
        <v>10</v>
      </c>
      <c r="D49" s="17">
        <f>가정!$C$6*MIN(1,MAX(0,(A49-가정!$C$28+1)/가정!$C$30))</f>
        <v>0</v>
      </c>
      <c r="E49" s="17">
        <f>IF(가정!$C$7&lt;30000,1,0)*MIN(1,MAX(0,(A49-가정!$C$29+1)/가정!$C$30))</f>
        <v>0</v>
      </c>
      <c r="F49" s="16">
        <f>IF(가정!$C$7&lt;30000,1,0)*IF(A49&gt;=가정!$C$29,1,0)</f>
        <v>0</v>
      </c>
      <c r="G49" s="17">
        <f>가정!$C$8*MIN(1,MAX(0,(A49-가정!$C$31+1)/가정!$C$32))</f>
        <v>0</v>
      </c>
      <c r="H49" s="18">
        <f>가정!$C$37+D49*가정!$C$14+E49*가정!$C$18</f>
        <v>-5.0000000000000001E-3</v>
      </c>
      <c r="I49" s="17">
        <f t="shared" si="13"/>
        <v>15.961313553638091</v>
      </c>
      <c r="J49" s="17">
        <f>I49*(1+G49*가정!$C$19)</f>
        <v>15.961313553638091</v>
      </c>
      <c r="K49" s="17">
        <f>I49*가정!$C$36*(1+G49*가정!$C$19*가정!$C$24)</f>
        <v>7.9806567768190453</v>
      </c>
      <c r="L49" s="18">
        <f>가정!$C$38+D49*가정!$C$12+E49*가정!$C$17</f>
        <v>0.111</v>
      </c>
      <c r="M49" s="18">
        <f>가정!$C$38+가정!$C$23*(L49-가정!$C$38)</f>
        <v>0.111</v>
      </c>
      <c r="N49" s="19">
        <f t="shared" si="14"/>
        <v>403.86864463618986</v>
      </c>
      <c r="O49" s="20">
        <f>K49+가정!$C$33*M49+N49*L49</f>
        <v>97.876076331436124</v>
      </c>
      <c r="P49" s="21">
        <f>가정!$C$39*(1+D49*가정!$C$13)</f>
        <v>1.2889999999999999</v>
      </c>
      <c r="Q49" s="21">
        <f>1+F49*가정!$C$15</f>
        <v>1</v>
      </c>
      <c r="R49" s="21">
        <f t="shared" si="8"/>
        <v>1.2889999999999999</v>
      </c>
      <c r="S49" s="20">
        <f t="shared" si="9"/>
        <v>126.16226239122116</v>
      </c>
      <c r="T49" s="19">
        <f>IF(F49=1,가정!$C$16,가정!$C$40)</f>
        <v>31846</v>
      </c>
      <c r="U49" s="20">
        <f t="shared" si="10"/>
        <v>401.77634081108289</v>
      </c>
      <c r="V49" s="20">
        <f>U49/(1-가정!$C$41)*가정!$C$42</f>
        <v>422.92246401166619</v>
      </c>
      <c r="W49" s="19">
        <f>가정!$C$33+N49+K49</f>
        <v>817.8493014130089</v>
      </c>
      <c r="X49" s="19">
        <f t="shared" si="15"/>
        <v>1027.8493014130086</v>
      </c>
      <c r="Y49" s="19">
        <f t="shared" si="11"/>
        <v>1845.6986028260176</v>
      </c>
      <c r="Z49" s="20">
        <f t="shared" si="12"/>
        <v>126.16226239122116</v>
      </c>
    </row>
    <row r="50" spans="1:26" x14ac:dyDescent="0.3">
      <c r="A50" s="16">
        <v>47</v>
      </c>
      <c r="B50" s="16">
        <v>2030</v>
      </c>
      <c r="C50" s="16">
        <v>11</v>
      </c>
      <c r="D50" s="17">
        <f>가정!$C$6*MIN(1,MAX(0,(A50-가정!$C$28+1)/가정!$C$30))</f>
        <v>0</v>
      </c>
      <c r="E50" s="17">
        <f>IF(가정!$C$7&lt;30000,1,0)*MIN(1,MAX(0,(A50-가정!$C$29+1)/가정!$C$30))</f>
        <v>0</v>
      </c>
      <c r="F50" s="16">
        <f>IF(가정!$C$7&lt;30000,1,0)*IF(A50&gt;=가정!$C$29,1,0)</f>
        <v>0</v>
      </c>
      <c r="G50" s="17">
        <f>가정!$C$8*MIN(1,MAX(0,(A50-가정!$C$31+1)/가정!$C$32))</f>
        <v>0</v>
      </c>
      <c r="H50" s="18">
        <f>가정!$C$37+D50*가정!$C$14+E50*가정!$C$18</f>
        <v>-5.0000000000000001E-3</v>
      </c>
      <c r="I50" s="17">
        <f t="shared" si="13"/>
        <v>15.881506985869899</v>
      </c>
      <c r="J50" s="17">
        <f>I50*(1+G50*가정!$C$19)</f>
        <v>15.881506985869899</v>
      </c>
      <c r="K50" s="17">
        <f>I50*가정!$C$36*(1+G50*가정!$C$19*가정!$C$24)</f>
        <v>7.9407534929349497</v>
      </c>
      <c r="L50" s="18">
        <f>가정!$C$38+D50*가정!$C$12+E50*가정!$C$17</f>
        <v>0.111</v>
      </c>
      <c r="M50" s="18">
        <f>가정!$C$38+가정!$C$23*(L50-가정!$C$38)</f>
        <v>0.111</v>
      </c>
      <c r="N50" s="19">
        <f t="shared" si="14"/>
        <v>411.8493014130089</v>
      </c>
      <c r="O50" s="20">
        <f>K50+가정!$C$33*M50+N50*L50</f>
        <v>98.722025949778953</v>
      </c>
      <c r="P50" s="21">
        <f>가정!$C$39*(1+D50*가정!$C$13)</f>
        <v>1.2889999999999999</v>
      </c>
      <c r="Q50" s="21">
        <f>1+F50*가정!$C$15</f>
        <v>1</v>
      </c>
      <c r="R50" s="21">
        <f t="shared" si="8"/>
        <v>1.2889999999999999</v>
      </c>
      <c r="S50" s="20">
        <f t="shared" si="9"/>
        <v>127.25269144926506</v>
      </c>
      <c r="T50" s="19">
        <f>IF(F50=1,가정!$C$16,가정!$C$40)</f>
        <v>31846</v>
      </c>
      <c r="U50" s="20">
        <f t="shared" si="10"/>
        <v>405.24892118932951</v>
      </c>
      <c r="V50" s="20">
        <f>U50/(1-가정!$C$41)*가정!$C$42</f>
        <v>426.5778117782416</v>
      </c>
      <c r="W50" s="19">
        <f>가정!$C$33+N50+K50</f>
        <v>825.79005490594386</v>
      </c>
      <c r="X50" s="19">
        <f t="shared" si="15"/>
        <v>1035.7900549059436</v>
      </c>
      <c r="Y50" s="19">
        <f t="shared" si="11"/>
        <v>1861.5801098118875</v>
      </c>
      <c r="Z50" s="20">
        <f t="shared" si="12"/>
        <v>127.25269144926506</v>
      </c>
    </row>
    <row r="51" spans="1:26" x14ac:dyDescent="0.3">
      <c r="A51" s="22">
        <v>48</v>
      </c>
      <c r="B51" s="22">
        <v>2030</v>
      </c>
      <c r="C51" s="22">
        <v>12</v>
      </c>
      <c r="D51" s="23">
        <f>가정!$C$6*MIN(1,MAX(0,(A51-가정!$C$28+1)/가정!$C$30))</f>
        <v>0</v>
      </c>
      <c r="E51" s="23">
        <f>IF(가정!$C$7&lt;30000,1,0)*MIN(1,MAX(0,(A51-가정!$C$29+1)/가정!$C$30))</f>
        <v>0</v>
      </c>
      <c r="F51" s="22">
        <f>IF(가정!$C$7&lt;30000,1,0)*IF(A51&gt;=가정!$C$29,1,0)</f>
        <v>0</v>
      </c>
      <c r="G51" s="23">
        <f>가정!$C$8*MIN(1,MAX(0,(A51-가정!$C$31+1)/가정!$C$32))</f>
        <v>0</v>
      </c>
      <c r="H51" s="24">
        <f>가정!$C$37+D51*가정!$C$14+E51*가정!$C$18</f>
        <v>-5.0000000000000001E-3</v>
      </c>
      <c r="I51" s="23">
        <f t="shared" si="13"/>
        <v>15.802099450940549</v>
      </c>
      <c r="J51" s="23">
        <f>I51*(1+G51*가정!$C$19)</f>
        <v>15.802099450940549</v>
      </c>
      <c r="K51" s="23">
        <f>I51*가정!$C$36*(1+G51*가정!$C$19*가정!$C$24)</f>
        <v>7.9010497254702745</v>
      </c>
      <c r="L51" s="24">
        <f>가정!$C$38+D51*가정!$C$12+E51*가정!$C$17</f>
        <v>0.111</v>
      </c>
      <c r="M51" s="24">
        <f>가정!$C$38+가정!$C$23*(L51-가정!$C$38)</f>
        <v>0.111</v>
      </c>
      <c r="N51" s="25">
        <f t="shared" si="14"/>
        <v>419.79005490594386</v>
      </c>
      <c r="O51" s="26">
        <f>K51+가정!$C$33*M51+N51*L51</f>
        <v>99.56374582003005</v>
      </c>
      <c r="P51" s="27">
        <f>가정!$C$39*(1+D51*가정!$C$13)</f>
        <v>1.2889999999999999</v>
      </c>
      <c r="Q51" s="27">
        <f>1+F51*가정!$C$15</f>
        <v>1</v>
      </c>
      <c r="R51" s="27">
        <f t="shared" si="8"/>
        <v>1.2889999999999999</v>
      </c>
      <c r="S51" s="26">
        <f t="shared" si="9"/>
        <v>128.33766836201872</v>
      </c>
      <c r="T51" s="25">
        <f>IF(F51=1,가정!$C$16,가정!$C$40)</f>
        <v>31846</v>
      </c>
      <c r="U51" s="26">
        <f t="shared" si="10"/>
        <v>408.70413866568481</v>
      </c>
      <c r="V51" s="26">
        <f>U51/(1-가정!$C$41)*가정!$C$42</f>
        <v>430.21488280598402</v>
      </c>
      <c r="W51" s="25">
        <f>가정!$C$33+N51+K51</f>
        <v>833.69110463141419</v>
      </c>
      <c r="X51" s="25">
        <f t="shared" si="15"/>
        <v>1043.691104631414</v>
      </c>
      <c r="Y51" s="25">
        <f t="shared" si="11"/>
        <v>1877.3822092628282</v>
      </c>
      <c r="Z51" s="26">
        <f t="shared" si="12"/>
        <v>128.33766836201872</v>
      </c>
    </row>
    <row r="52" spans="1:26" x14ac:dyDescent="0.3">
      <c r="A52" s="16">
        <v>49</v>
      </c>
      <c r="B52" s="16">
        <v>2031</v>
      </c>
      <c r="C52" s="16">
        <v>1</v>
      </c>
      <c r="D52" s="17">
        <f>가정!$C$6*MIN(1,MAX(0,(A52-가정!$C$28+1)/가정!$C$30))</f>
        <v>0</v>
      </c>
      <c r="E52" s="17">
        <f>IF(가정!$C$7&lt;30000,1,0)*MIN(1,MAX(0,(A52-가정!$C$29+1)/가정!$C$30))</f>
        <v>0</v>
      </c>
      <c r="F52" s="16">
        <f>IF(가정!$C$7&lt;30000,1,0)*IF(A52&gt;=가정!$C$29,1,0)</f>
        <v>0</v>
      </c>
      <c r="G52" s="17">
        <f>가정!$C$8*MIN(1,MAX(0,(A52-가정!$C$31+1)/가정!$C$32))</f>
        <v>0</v>
      </c>
      <c r="H52" s="18">
        <f>가정!$C$37+D52*가정!$C$14+E52*가정!$C$18</f>
        <v>-5.0000000000000001E-3</v>
      </c>
      <c r="I52" s="17">
        <f t="shared" si="13"/>
        <v>15.723088953685846</v>
      </c>
      <c r="J52" s="17">
        <f>I52*(1+G52*가정!$C$19)</f>
        <v>15.723088953685846</v>
      </c>
      <c r="K52" s="17">
        <f>I52*가정!$C$36*(1+G52*가정!$C$19*가정!$C$24)</f>
        <v>7.8615444768429228</v>
      </c>
      <c r="L52" s="18">
        <f>가정!$C$38+D52*가정!$C$12+E52*가정!$C$17</f>
        <v>0.111</v>
      </c>
      <c r="M52" s="18">
        <f>가정!$C$38+가정!$C$23*(L52-가정!$C$38)</f>
        <v>0.111</v>
      </c>
      <c r="N52" s="19">
        <f t="shared" si="14"/>
        <v>427.69110463141413</v>
      </c>
      <c r="O52" s="20">
        <f>K52+가정!$C$33*M52+N52*L52</f>
        <v>100.4012570909299</v>
      </c>
      <c r="P52" s="21">
        <f>가정!$C$39*(1+D52*가정!$C$13)</f>
        <v>1.2889999999999999</v>
      </c>
      <c r="Q52" s="21">
        <f>1+F52*가정!$C$15</f>
        <v>1</v>
      </c>
      <c r="R52" s="21">
        <f t="shared" si="8"/>
        <v>1.2889999999999999</v>
      </c>
      <c r="S52" s="20">
        <f t="shared" si="9"/>
        <v>129.41722039020863</v>
      </c>
      <c r="T52" s="19">
        <f>IF(F52=1,가정!$C$16,가정!$C$40)</f>
        <v>31846</v>
      </c>
      <c r="U52" s="20">
        <f t="shared" si="10"/>
        <v>412.14208005465838</v>
      </c>
      <c r="V52" s="20">
        <f>U52/(1-가정!$C$41)*가정!$C$42</f>
        <v>433.83376847858779</v>
      </c>
      <c r="W52" s="19">
        <f>가정!$C$33+N52+K52</f>
        <v>841.55264910825713</v>
      </c>
      <c r="X52" s="19">
        <f t="shared" si="15"/>
        <v>1051.5526491082569</v>
      </c>
      <c r="Y52" s="19">
        <f t="shared" si="11"/>
        <v>1893.105298216514</v>
      </c>
      <c r="Z52" s="20">
        <f t="shared" si="12"/>
        <v>129.41722039020863</v>
      </c>
    </row>
    <row r="53" spans="1:26" x14ac:dyDescent="0.3">
      <c r="A53" s="16">
        <v>50</v>
      </c>
      <c r="B53" s="16">
        <v>2031</v>
      </c>
      <c r="C53" s="16">
        <v>2</v>
      </c>
      <c r="D53" s="17">
        <f>가정!$C$6*MIN(1,MAX(0,(A53-가정!$C$28+1)/가정!$C$30))</f>
        <v>0</v>
      </c>
      <c r="E53" s="17">
        <f>IF(가정!$C$7&lt;30000,1,0)*MIN(1,MAX(0,(A53-가정!$C$29+1)/가정!$C$30))</f>
        <v>0</v>
      </c>
      <c r="F53" s="16">
        <f>IF(가정!$C$7&lt;30000,1,0)*IF(A53&gt;=가정!$C$29,1,0)</f>
        <v>0</v>
      </c>
      <c r="G53" s="17">
        <f>가정!$C$8*MIN(1,MAX(0,(A53-가정!$C$31+1)/가정!$C$32))</f>
        <v>0</v>
      </c>
      <c r="H53" s="18">
        <f>가정!$C$37+D53*가정!$C$14+E53*가정!$C$18</f>
        <v>-5.0000000000000001E-3</v>
      </c>
      <c r="I53" s="17">
        <f t="shared" si="13"/>
        <v>15.644473508917416</v>
      </c>
      <c r="J53" s="17">
        <f>I53*(1+G53*가정!$C$19)</f>
        <v>15.644473508917416</v>
      </c>
      <c r="K53" s="17">
        <f>I53*가정!$C$36*(1+G53*가정!$C$19*가정!$C$24)</f>
        <v>7.8222367544587081</v>
      </c>
      <c r="L53" s="18">
        <f>가정!$C$38+D53*가정!$C$12+E53*가정!$C$17</f>
        <v>0.111</v>
      </c>
      <c r="M53" s="18">
        <f>가정!$C$38+가정!$C$23*(L53-가정!$C$38)</f>
        <v>0.111</v>
      </c>
      <c r="N53" s="19">
        <f t="shared" si="14"/>
        <v>435.55264910825707</v>
      </c>
      <c r="O53" s="20">
        <f>K53+가정!$C$33*M53+N53*L53</f>
        <v>101.23458080547525</v>
      </c>
      <c r="P53" s="21">
        <f>가정!$C$39*(1+D53*가정!$C$13)</f>
        <v>1.2889999999999999</v>
      </c>
      <c r="Q53" s="21">
        <f>1+F53*가정!$C$15</f>
        <v>1</v>
      </c>
      <c r="R53" s="21">
        <f t="shared" si="8"/>
        <v>1.2889999999999999</v>
      </c>
      <c r="S53" s="20">
        <f t="shared" si="9"/>
        <v>130.4913746582576</v>
      </c>
      <c r="T53" s="19">
        <f>IF(F53=1,가정!$C$16,가정!$C$40)</f>
        <v>31846</v>
      </c>
      <c r="U53" s="20">
        <f t="shared" si="10"/>
        <v>415.56283173668714</v>
      </c>
      <c r="V53" s="20">
        <f>U53/(1-가정!$C$41)*가정!$C$42</f>
        <v>437.43455972282857</v>
      </c>
      <c r="W53" s="19">
        <f>가정!$C$33+N53+K53</f>
        <v>849.37488586271581</v>
      </c>
      <c r="X53" s="19">
        <f t="shared" si="15"/>
        <v>1059.3748858627155</v>
      </c>
      <c r="Y53" s="19">
        <f t="shared" si="11"/>
        <v>1908.7497717254314</v>
      </c>
      <c r="Z53" s="20">
        <f t="shared" si="12"/>
        <v>130.4913746582576</v>
      </c>
    </row>
    <row r="54" spans="1:26" x14ac:dyDescent="0.3">
      <c r="A54" s="16">
        <v>51</v>
      </c>
      <c r="B54" s="16">
        <v>2031</v>
      </c>
      <c r="C54" s="16">
        <v>3</v>
      </c>
      <c r="D54" s="17">
        <f>가정!$C$6*MIN(1,MAX(0,(A54-가정!$C$28+1)/가정!$C$30))</f>
        <v>0</v>
      </c>
      <c r="E54" s="17">
        <f>IF(가정!$C$7&lt;30000,1,0)*MIN(1,MAX(0,(A54-가정!$C$29+1)/가정!$C$30))</f>
        <v>0</v>
      </c>
      <c r="F54" s="16">
        <f>IF(가정!$C$7&lt;30000,1,0)*IF(A54&gt;=가정!$C$29,1,0)</f>
        <v>0</v>
      </c>
      <c r="G54" s="17">
        <f>가정!$C$8*MIN(1,MAX(0,(A54-가정!$C$31+1)/가정!$C$32))</f>
        <v>0</v>
      </c>
      <c r="H54" s="18">
        <f>가정!$C$37+D54*가정!$C$14+E54*가정!$C$18</f>
        <v>-5.0000000000000001E-3</v>
      </c>
      <c r="I54" s="17">
        <f t="shared" si="13"/>
        <v>15.566251141372829</v>
      </c>
      <c r="J54" s="17">
        <f>I54*(1+G54*가정!$C$19)</f>
        <v>15.566251141372829</v>
      </c>
      <c r="K54" s="17">
        <f>I54*가정!$C$36*(1+G54*가정!$C$19*가정!$C$24)</f>
        <v>7.7831255706864146</v>
      </c>
      <c r="L54" s="18">
        <f>가정!$C$38+D54*가정!$C$12+E54*가정!$C$17</f>
        <v>0.111</v>
      </c>
      <c r="M54" s="18">
        <f>가정!$C$38+가정!$C$23*(L54-가정!$C$38)</f>
        <v>0.111</v>
      </c>
      <c r="N54" s="19">
        <f t="shared" si="14"/>
        <v>443.37488586271576</v>
      </c>
      <c r="O54" s="20">
        <f>K54+가정!$C$33*M54+N54*L54</f>
        <v>102.06373790144787</v>
      </c>
      <c r="P54" s="21">
        <f>가정!$C$39*(1+D54*가정!$C$13)</f>
        <v>1.2889999999999999</v>
      </c>
      <c r="Q54" s="21">
        <f>1+F54*가정!$C$15</f>
        <v>1</v>
      </c>
      <c r="R54" s="21">
        <f t="shared" si="8"/>
        <v>1.2889999999999999</v>
      </c>
      <c r="S54" s="20">
        <f t="shared" si="9"/>
        <v>131.5601581549663</v>
      </c>
      <c r="T54" s="19">
        <f>IF(F54=1,가정!$C$16,가정!$C$40)</f>
        <v>31846</v>
      </c>
      <c r="U54" s="20">
        <f t="shared" si="10"/>
        <v>418.96647966030571</v>
      </c>
      <c r="V54" s="20">
        <f>U54/(1-가정!$C$41)*가정!$C$42</f>
        <v>441.01734701084814</v>
      </c>
      <c r="W54" s="19">
        <f>가정!$C$33+N54+K54</f>
        <v>857.15801143340207</v>
      </c>
      <c r="X54" s="19">
        <f t="shared" si="15"/>
        <v>1067.1580114334017</v>
      </c>
      <c r="Y54" s="19">
        <f t="shared" si="11"/>
        <v>1924.3160228668039</v>
      </c>
      <c r="Z54" s="20">
        <f t="shared" si="12"/>
        <v>131.5601581549663</v>
      </c>
    </row>
    <row r="55" spans="1:26" x14ac:dyDescent="0.3">
      <c r="A55" s="16">
        <v>52</v>
      </c>
      <c r="B55" s="16">
        <v>2031</v>
      </c>
      <c r="C55" s="16">
        <v>4</v>
      </c>
      <c r="D55" s="17">
        <f>가정!$C$6*MIN(1,MAX(0,(A55-가정!$C$28+1)/가정!$C$30))</f>
        <v>0</v>
      </c>
      <c r="E55" s="17">
        <f>IF(가정!$C$7&lt;30000,1,0)*MIN(1,MAX(0,(A55-가정!$C$29+1)/가정!$C$30))</f>
        <v>0</v>
      </c>
      <c r="F55" s="16">
        <f>IF(가정!$C$7&lt;30000,1,0)*IF(A55&gt;=가정!$C$29,1,0)</f>
        <v>0</v>
      </c>
      <c r="G55" s="17">
        <f>가정!$C$8*MIN(1,MAX(0,(A55-가정!$C$31+1)/가정!$C$32))</f>
        <v>0</v>
      </c>
      <c r="H55" s="18">
        <f>가정!$C$37+D55*가정!$C$14+E55*가정!$C$18</f>
        <v>-5.0000000000000001E-3</v>
      </c>
      <c r="I55" s="17">
        <f t="shared" si="13"/>
        <v>15.488419885665966</v>
      </c>
      <c r="J55" s="17">
        <f>I55*(1+G55*가정!$C$19)</f>
        <v>15.488419885665966</v>
      </c>
      <c r="K55" s="17">
        <f>I55*가정!$C$36*(1+G55*가정!$C$19*가정!$C$24)</f>
        <v>7.7442099428329829</v>
      </c>
      <c r="L55" s="18">
        <f>가정!$C$38+D55*가정!$C$12+E55*가정!$C$17</f>
        <v>0.111</v>
      </c>
      <c r="M55" s="18">
        <f>가정!$C$38+가정!$C$23*(L55-가정!$C$38)</f>
        <v>0.111</v>
      </c>
      <c r="N55" s="19">
        <f t="shared" si="14"/>
        <v>451.15801143340218</v>
      </c>
      <c r="O55" s="20">
        <f>K55+가정!$C$33*M55+N55*L55</f>
        <v>102.88874921194062</v>
      </c>
      <c r="P55" s="21">
        <f>가정!$C$39*(1+D55*가정!$C$13)</f>
        <v>1.2889999999999999</v>
      </c>
      <c r="Q55" s="21">
        <f>1+F55*가정!$C$15</f>
        <v>1</v>
      </c>
      <c r="R55" s="21">
        <f t="shared" si="8"/>
        <v>1.2889999999999999</v>
      </c>
      <c r="S55" s="20">
        <f t="shared" si="9"/>
        <v>132.62359773419146</v>
      </c>
      <c r="T55" s="19">
        <f>IF(F55=1,가정!$C$16,가정!$C$40)</f>
        <v>31846</v>
      </c>
      <c r="U55" s="20">
        <f t="shared" si="10"/>
        <v>422.35310934430612</v>
      </c>
      <c r="V55" s="20">
        <f>U55/(1-가정!$C$41)*가정!$C$42</f>
        <v>444.58222036242751</v>
      </c>
      <c r="W55" s="19">
        <f>가정!$C$33+N55+K55</f>
        <v>864.90222137623516</v>
      </c>
      <c r="X55" s="19">
        <f t="shared" si="15"/>
        <v>1074.9022213762346</v>
      </c>
      <c r="Y55" s="19">
        <f t="shared" si="11"/>
        <v>1939.8044427524696</v>
      </c>
      <c r="Z55" s="20">
        <f t="shared" si="12"/>
        <v>132.62359773419146</v>
      </c>
    </row>
    <row r="56" spans="1:26" x14ac:dyDescent="0.3">
      <c r="A56" s="16">
        <v>53</v>
      </c>
      <c r="B56" s="16">
        <v>2031</v>
      </c>
      <c r="C56" s="16">
        <v>5</v>
      </c>
      <c r="D56" s="17">
        <f>가정!$C$6*MIN(1,MAX(0,(A56-가정!$C$28+1)/가정!$C$30))</f>
        <v>0</v>
      </c>
      <c r="E56" s="17">
        <f>IF(가정!$C$7&lt;30000,1,0)*MIN(1,MAX(0,(A56-가정!$C$29+1)/가정!$C$30))</f>
        <v>0</v>
      </c>
      <c r="F56" s="16">
        <f>IF(가정!$C$7&lt;30000,1,0)*IF(A56&gt;=가정!$C$29,1,0)</f>
        <v>0</v>
      </c>
      <c r="G56" s="17">
        <f>가정!$C$8*MIN(1,MAX(0,(A56-가정!$C$31+1)/가정!$C$32))</f>
        <v>0</v>
      </c>
      <c r="H56" s="18">
        <f>가정!$C$37+D56*가정!$C$14+E56*가정!$C$18</f>
        <v>-5.0000000000000001E-3</v>
      </c>
      <c r="I56" s="17">
        <f t="shared" si="13"/>
        <v>15.410977786237636</v>
      </c>
      <c r="J56" s="17">
        <f>I56*(1+G56*가정!$C$19)</f>
        <v>15.410977786237636</v>
      </c>
      <c r="K56" s="17">
        <f>I56*가정!$C$36*(1+G56*가정!$C$19*가정!$C$24)</f>
        <v>7.7054888931188179</v>
      </c>
      <c r="L56" s="18">
        <f>가정!$C$38+D56*가정!$C$12+E56*가정!$C$17</f>
        <v>0.111</v>
      </c>
      <c r="M56" s="18">
        <f>가정!$C$38+가정!$C$23*(L56-가정!$C$38)</f>
        <v>0.111</v>
      </c>
      <c r="N56" s="19">
        <f t="shared" si="14"/>
        <v>458.90222137623516</v>
      </c>
      <c r="O56" s="20">
        <f>K56+가정!$C$33*M56+N56*L56</f>
        <v>103.70963546588092</v>
      </c>
      <c r="P56" s="21">
        <f>가정!$C$39*(1+D56*가정!$C$13)</f>
        <v>1.2889999999999999</v>
      </c>
      <c r="Q56" s="21">
        <f>1+F56*가정!$C$15</f>
        <v>1</v>
      </c>
      <c r="R56" s="21">
        <f t="shared" si="8"/>
        <v>1.2889999999999999</v>
      </c>
      <c r="S56" s="20">
        <f t="shared" si="9"/>
        <v>133.68172011552051</v>
      </c>
      <c r="T56" s="19">
        <f>IF(F56=1,가정!$C$16,가정!$C$40)</f>
        <v>31846</v>
      </c>
      <c r="U56" s="20">
        <f t="shared" si="10"/>
        <v>425.72280587988661</v>
      </c>
      <c r="V56" s="20">
        <f>U56/(1-가정!$C$41)*가정!$C$42</f>
        <v>448.12926934724908</v>
      </c>
      <c r="W56" s="19">
        <f>가정!$C$33+N56+K56</f>
        <v>872.60771026935402</v>
      </c>
      <c r="X56" s="19">
        <f t="shared" si="15"/>
        <v>1082.6077102693534</v>
      </c>
      <c r="Y56" s="19">
        <f t="shared" si="11"/>
        <v>1955.2154205387073</v>
      </c>
      <c r="Z56" s="20">
        <f t="shared" si="12"/>
        <v>133.68172011552051</v>
      </c>
    </row>
    <row r="57" spans="1:26" x14ac:dyDescent="0.3">
      <c r="A57" s="16">
        <v>54</v>
      </c>
      <c r="B57" s="16">
        <v>2031</v>
      </c>
      <c r="C57" s="16">
        <v>6</v>
      </c>
      <c r="D57" s="17">
        <f>가정!$C$6*MIN(1,MAX(0,(A57-가정!$C$28+1)/가정!$C$30))</f>
        <v>0</v>
      </c>
      <c r="E57" s="17">
        <f>IF(가정!$C$7&lt;30000,1,0)*MIN(1,MAX(0,(A57-가정!$C$29+1)/가정!$C$30))</f>
        <v>0</v>
      </c>
      <c r="F57" s="16">
        <f>IF(가정!$C$7&lt;30000,1,0)*IF(A57&gt;=가정!$C$29,1,0)</f>
        <v>0</v>
      </c>
      <c r="G57" s="17">
        <f>가정!$C$8*MIN(1,MAX(0,(A57-가정!$C$31+1)/가정!$C$32))</f>
        <v>0</v>
      </c>
      <c r="H57" s="18">
        <f>가정!$C$37+D57*가정!$C$14+E57*가정!$C$18</f>
        <v>-5.0000000000000001E-3</v>
      </c>
      <c r="I57" s="17">
        <f t="shared" si="13"/>
        <v>15.333922897306447</v>
      </c>
      <c r="J57" s="17">
        <f>I57*(1+G57*가정!$C$19)</f>
        <v>15.333922897306447</v>
      </c>
      <c r="K57" s="17">
        <f>I57*가정!$C$36*(1+G57*가정!$C$19*가정!$C$24)</f>
        <v>7.6669614486532236</v>
      </c>
      <c r="L57" s="18">
        <f>가정!$C$38+D57*가정!$C$12+E57*가정!$C$17</f>
        <v>0.111</v>
      </c>
      <c r="M57" s="18">
        <f>가정!$C$38+가정!$C$23*(L57-가정!$C$38)</f>
        <v>0.111</v>
      </c>
      <c r="N57" s="19">
        <f t="shared" si="14"/>
        <v>466.60771026935396</v>
      </c>
      <c r="O57" s="20">
        <f>K57+가정!$C$33*M57+N57*L57</f>
        <v>104.52641728855153</v>
      </c>
      <c r="P57" s="21">
        <f>가정!$C$39*(1+D57*가정!$C$13)</f>
        <v>1.2889999999999999</v>
      </c>
      <c r="Q57" s="21">
        <f>1+F57*가정!$C$15</f>
        <v>1</v>
      </c>
      <c r="R57" s="21">
        <f t="shared" si="8"/>
        <v>1.2889999999999999</v>
      </c>
      <c r="S57" s="20">
        <f t="shared" si="9"/>
        <v>134.7345518849429</v>
      </c>
      <c r="T57" s="19">
        <f>IF(F57=1,가정!$C$16,가정!$C$40)</f>
        <v>31846</v>
      </c>
      <c r="U57" s="20">
        <f t="shared" si="10"/>
        <v>429.07565393278918</v>
      </c>
      <c r="V57" s="20">
        <f>U57/(1-가정!$C$41)*가정!$C$42</f>
        <v>451.65858308714655</v>
      </c>
      <c r="W57" s="19">
        <f>가정!$C$33+N57+K57</f>
        <v>880.27467171800708</v>
      </c>
      <c r="X57" s="19">
        <f t="shared" si="15"/>
        <v>1090.2746717180066</v>
      </c>
      <c r="Y57" s="19">
        <f t="shared" si="11"/>
        <v>1970.5493434360137</v>
      </c>
      <c r="Z57" s="20">
        <f t="shared" si="12"/>
        <v>134.7345518849429</v>
      </c>
    </row>
    <row r="58" spans="1:26" x14ac:dyDescent="0.3">
      <c r="A58" s="16">
        <v>55</v>
      </c>
      <c r="B58" s="16">
        <v>2031</v>
      </c>
      <c r="C58" s="16">
        <v>7</v>
      </c>
      <c r="D58" s="17">
        <f>가정!$C$6*MIN(1,MAX(0,(A58-가정!$C$28+1)/가정!$C$30))</f>
        <v>0</v>
      </c>
      <c r="E58" s="17">
        <f>IF(가정!$C$7&lt;30000,1,0)*MIN(1,MAX(0,(A58-가정!$C$29+1)/가정!$C$30))</f>
        <v>0</v>
      </c>
      <c r="F58" s="16">
        <f>IF(가정!$C$7&lt;30000,1,0)*IF(A58&gt;=가정!$C$29,1,0)</f>
        <v>0</v>
      </c>
      <c r="G58" s="17">
        <f>가정!$C$8*MIN(1,MAX(0,(A58-가정!$C$31+1)/가정!$C$32))</f>
        <v>0</v>
      </c>
      <c r="H58" s="18">
        <f>가정!$C$37+D58*가정!$C$14+E58*가정!$C$18</f>
        <v>-5.0000000000000001E-3</v>
      </c>
      <c r="I58" s="17">
        <f t="shared" si="13"/>
        <v>15.257253282819915</v>
      </c>
      <c r="J58" s="17">
        <f>I58*(1+G58*가정!$C$19)</f>
        <v>15.257253282819915</v>
      </c>
      <c r="K58" s="17">
        <f>I58*가정!$C$36*(1+G58*가정!$C$19*가정!$C$24)</f>
        <v>7.6286266414099577</v>
      </c>
      <c r="L58" s="18">
        <f>가정!$C$38+D58*가정!$C$12+E58*가정!$C$17</f>
        <v>0.111</v>
      </c>
      <c r="M58" s="18">
        <f>가정!$C$38+가정!$C$23*(L58-가정!$C$38)</f>
        <v>0.111</v>
      </c>
      <c r="N58" s="19">
        <f t="shared" si="14"/>
        <v>474.2746717180072</v>
      </c>
      <c r="O58" s="20">
        <f>K58+가정!$C$33*M58+N58*L58</f>
        <v>105.33911520210876</v>
      </c>
      <c r="P58" s="21">
        <f>가정!$C$39*(1+D58*가정!$C$13)</f>
        <v>1.2889999999999999</v>
      </c>
      <c r="Q58" s="21">
        <f>1+F58*가정!$C$15</f>
        <v>1</v>
      </c>
      <c r="R58" s="21">
        <f t="shared" si="8"/>
        <v>1.2889999999999999</v>
      </c>
      <c r="S58" s="20">
        <f t="shared" si="9"/>
        <v>135.78211949551817</v>
      </c>
      <c r="T58" s="19">
        <f>IF(F58=1,가정!$C$16,가정!$C$40)</f>
        <v>31846</v>
      </c>
      <c r="U58" s="20">
        <f t="shared" si="10"/>
        <v>432.41173774542716</v>
      </c>
      <c r="V58" s="20">
        <f>U58/(1-가정!$C$41)*가정!$C$42</f>
        <v>455.17025025834442</v>
      </c>
      <c r="W58" s="19">
        <f>가정!$C$33+N58+K58</f>
        <v>887.90329835941714</v>
      </c>
      <c r="X58" s="19">
        <f t="shared" si="15"/>
        <v>1097.9032983594166</v>
      </c>
      <c r="Y58" s="19">
        <f t="shared" si="11"/>
        <v>1985.8065967188336</v>
      </c>
      <c r="Z58" s="20">
        <f t="shared" si="12"/>
        <v>135.78211949551817</v>
      </c>
    </row>
    <row r="59" spans="1:26" x14ac:dyDescent="0.3">
      <c r="A59" s="16">
        <v>56</v>
      </c>
      <c r="B59" s="16">
        <v>2031</v>
      </c>
      <c r="C59" s="16">
        <v>8</v>
      </c>
      <c r="D59" s="17">
        <f>가정!$C$6*MIN(1,MAX(0,(A59-가정!$C$28+1)/가정!$C$30))</f>
        <v>0</v>
      </c>
      <c r="E59" s="17">
        <f>IF(가정!$C$7&lt;30000,1,0)*MIN(1,MAX(0,(A59-가정!$C$29+1)/가정!$C$30))</f>
        <v>0</v>
      </c>
      <c r="F59" s="16">
        <f>IF(가정!$C$7&lt;30000,1,0)*IF(A59&gt;=가정!$C$29,1,0)</f>
        <v>0</v>
      </c>
      <c r="G59" s="17">
        <f>가정!$C$8*MIN(1,MAX(0,(A59-가정!$C$31+1)/가정!$C$32))</f>
        <v>0</v>
      </c>
      <c r="H59" s="18">
        <f>가정!$C$37+D59*가정!$C$14+E59*가정!$C$18</f>
        <v>-5.0000000000000001E-3</v>
      </c>
      <c r="I59" s="17">
        <f t="shared" si="13"/>
        <v>15.180967016405816</v>
      </c>
      <c r="J59" s="17">
        <f>I59*(1+G59*가정!$C$19)</f>
        <v>15.180967016405816</v>
      </c>
      <c r="K59" s="17">
        <f>I59*가정!$C$36*(1+G59*가정!$C$19*가정!$C$24)</f>
        <v>7.5904835082029081</v>
      </c>
      <c r="L59" s="18">
        <f>가정!$C$38+D59*가정!$C$12+E59*가정!$C$17</f>
        <v>0.111</v>
      </c>
      <c r="M59" s="18">
        <f>가정!$C$38+가정!$C$23*(L59-가정!$C$38)</f>
        <v>0.111</v>
      </c>
      <c r="N59" s="19">
        <f t="shared" si="14"/>
        <v>481.90329835941714</v>
      </c>
      <c r="O59" s="20">
        <f>K59+가정!$C$33*M59+N59*L59</f>
        <v>106.1477496260982</v>
      </c>
      <c r="P59" s="21">
        <f>가정!$C$39*(1+D59*가정!$C$13)</f>
        <v>1.2889999999999999</v>
      </c>
      <c r="Q59" s="21">
        <f>1+F59*가정!$C$15</f>
        <v>1</v>
      </c>
      <c r="R59" s="21">
        <f t="shared" si="8"/>
        <v>1.2889999999999999</v>
      </c>
      <c r="S59" s="20">
        <f t="shared" si="9"/>
        <v>136.82444926804058</v>
      </c>
      <c r="T59" s="19">
        <f>IF(F59=1,가정!$C$16,가정!$C$40)</f>
        <v>31846</v>
      </c>
      <c r="U59" s="20">
        <f t="shared" si="10"/>
        <v>435.73114113900203</v>
      </c>
      <c r="V59" s="20">
        <f>U59/(1-가정!$C$41)*가정!$C$42</f>
        <v>458.66435909368636</v>
      </c>
      <c r="W59" s="19">
        <f>가정!$C$33+N59+K59</f>
        <v>895.4937818676201</v>
      </c>
      <c r="X59" s="19">
        <f t="shared" si="15"/>
        <v>1105.4937818676194</v>
      </c>
      <c r="Y59" s="19">
        <f t="shared" si="11"/>
        <v>2000.9875637352395</v>
      </c>
      <c r="Z59" s="20">
        <f t="shared" si="12"/>
        <v>136.82444926804058</v>
      </c>
    </row>
    <row r="60" spans="1:26" x14ac:dyDescent="0.3">
      <c r="A60" s="16">
        <v>57</v>
      </c>
      <c r="B60" s="16">
        <v>2031</v>
      </c>
      <c r="C60" s="16">
        <v>9</v>
      </c>
      <c r="D60" s="17">
        <f>가정!$C$6*MIN(1,MAX(0,(A60-가정!$C$28+1)/가정!$C$30))</f>
        <v>0</v>
      </c>
      <c r="E60" s="17">
        <f>IF(가정!$C$7&lt;30000,1,0)*MIN(1,MAX(0,(A60-가정!$C$29+1)/가정!$C$30))</f>
        <v>0</v>
      </c>
      <c r="F60" s="16">
        <f>IF(가정!$C$7&lt;30000,1,0)*IF(A60&gt;=가정!$C$29,1,0)</f>
        <v>0</v>
      </c>
      <c r="G60" s="17">
        <f>가정!$C$8*MIN(1,MAX(0,(A60-가정!$C$31+1)/가정!$C$32))</f>
        <v>0</v>
      </c>
      <c r="H60" s="18">
        <f>가정!$C$37+D60*가정!$C$14+E60*가정!$C$18</f>
        <v>-5.0000000000000001E-3</v>
      </c>
      <c r="I60" s="17">
        <f t="shared" si="13"/>
        <v>15.105062181323786</v>
      </c>
      <c r="J60" s="17">
        <f>I60*(1+G60*가정!$C$19)</f>
        <v>15.105062181323786</v>
      </c>
      <c r="K60" s="17">
        <f>I60*가정!$C$36*(1+G60*가정!$C$19*가정!$C$24)</f>
        <v>7.5525310906618932</v>
      </c>
      <c r="L60" s="18">
        <f>가정!$C$38+D60*가정!$C$12+E60*가정!$C$17</f>
        <v>0.111</v>
      </c>
      <c r="M60" s="18">
        <f>가정!$C$38+가정!$C$23*(L60-가정!$C$38)</f>
        <v>0.111</v>
      </c>
      <c r="N60" s="19">
        <f t="shared" si="14"/>
        <v>489.49378186762004</v>
      </c>
      <c r="O60" s="20">
        <f>K60+가정!$C$33*M60+N60*L60</f>
        <v>106.95234087796771</v>
      </c>
      <c r="P60" s="21">
        <f>가정!$C$39*(1+D60*가정!$C$13)</f>
        <v>1.2889999999999999</v>
      </c>
      <c r="Q60" s="21">
        <f>1+F60*가정!$C$15</f>
        <v>1</v>
      </c>
      <c r="R60" s="21">
        <f t="shared" si="8"/>
        <v>1.2889999999999999</v>
      </c>
      <c r="S60" s="20">
        <f t="shared" si="9"/>
        <v>137.86156739170036</v>
      </c>
      <c r="T60" s="19">
        <f>IF(F60=1,가정!$C$16,가정!$C$40)</f>
        <v>31846</v>
      </c>
      <c r="U60" s="20">
        <f t="shared" si="10"/>
        <v>439.03394751560893</v>
      </c>
      <c r="V60" s="20">
        <f>U60/(1-가정!$C$41)*가정!$C$42</f>
        <v>462.14099738485152</v>
      </c>
      <c r="W60" s="19">
        <f>가정!$C$33+N60+K60</f>
        <v>903.04631295828199</v>
      </c>
      <c r="X60" s="19">
        <f t="shared" si="15"/>
        <v>1113.0463129582813</v>
      </c>
      <c r="Y60" s="19">
        <f t="shared" si="11"/>
        <v>2016.0926259165633</v>
      </c>
      <c r="Z60" s="20">
        <f t="shared" si="12"/>
        <v>137.86156739170036</v>
      </c>
    </row>
    <row r="61" spans="1:26" x14ac:dyDescent="0.3">
      <c r="A61" s="16">
        <v>58</v>
      </c>
      <c r="B61" s="16">
        <v>2031</v>
      </c>
      <c r="C61" s="16">
        <v>10</v>
      </c>
      <c r="D61" s="17">
        <f>가정!$C$6*MIN(1,MAX(0,(A61-가정!$C$28+1)/가정!$C$30))</f>
        <v>0</v>
      </c>
      <c r="E61" s="17">
        <f>IF(가정!$C$7&lt;30000,1,0)*MIN(1,MAX(0,(A61-가정!$C$29+1)/가정!$C$30))</f>
        <v>0</v>
      </c>
      <c r="F61" s="16">
        <f>IF(가정!$C$7&lt;30000,1,0)*IF(A61&gt;=가정!$C$29,1,0)</f>
        <v>0</v>
      </c>
      <c r="G61" s="17">
        <f>가정!$C$8*MIN(1,MAX(0,(A61-가정!$C$31+1)/가정!$C$32))</f>
        <v>0</v>
      </c>
      <c r="H61" s="18">
        <f>가정!$C$37+D61*가정!$C$14+E61*가정!$C$18</f>
        <v>-5.0000000000000001E-3</v>
      </c>
      <c r="I61" s="17">
        <f t="shared" si="13"/>
        <v>15.029536870417168</v>
      </c>
      <c r="J61" s="17">
        <f>I61*(1+G61*가정!$C$19)</f>
        <v>15.029536870417168</v>
      </c>
      <c r="K61" s="17">
        <f>I61*가정!$C$36*(1+G61*가정!$C$19*가정!$C$24)</f>
        <v>7.514768435208584</v>
      </c>
      <c r="L61" s="18">
        <f>가정!$C$38+D61*가정!$C$12+E61*가정!$C$17</f>
        <v>0.111</v>
      </c>
      <c r="M61" s="18">
        <f>가정!$C$38+가정!$C$23*(L61-가정!$C$38)</f>
        <v>0.111</v>
      </c>
      <c r="N61" s="19">
        <f t="shared" si="14"/>
        <v>497.04631295828193</v>
      </c>
      <c r="O61" s="20">
        <f>K61+가정!$C$33*M61+N61*L61</f>
        <v>107.75290917357788</v>
      </c>
      <c r="P61" s="21">
        <f>가정!$C$39*(1+D61*가정!$C$13)</f>
        <v>1.2889999999999999</v>
      </c>
      <c r="Q61" s="21">
        <f>1+F61*가정!$C$15</f>
        <v>1</v>
      </c>
      <c r="R61" s="21">
        <f t="shared" si="8"/>
        <v>1.2889999999999999</v>
      </c>
      <c r="S61" s="20">
        <f t="shared" si="9"/>
        <v>138.89349992474186</v>
      </c>
      <c r="T61" s="19">
        <f>IF(F61=1,가정!$C$16,가정!$C$40)</f>
        <v>31846</v>
      </c>
      <c r="U61" s="20">
        <f t="shared" si="10"/>
        <v>442.32023986033295</v>
      </c>
      <c r="V61" s="20">
        <f>U61/(1-가정!$C$41)*가정!$C$42</f>
        <v>465.600252484561</v>
      </c>
      <c r="W61" s="19">
        <f>가정!$C$33+N61+K61</f>
        <v>910.56108139349055</v>
      </c>
      <c r="X61" s="19">
        <f t="shared" si="15"/>
        <v>1120.5610813934898</v>
      </c>
      <c r="Y61" s="19">
        <f t="shared" si="11"/>
        <v>2031.1221627869804</v>
      </c>
      <c r="Z61" s="20">
        <f t="shared" si="12"/>
        <v>138.89349992474186</v>
      </c>
    </row>
    <row r="62" spans="1:26" x14ac:dyDescent="0.3">
      <c r="A62" s="16">
        <v>59</v>
      </c>
      <c r="B62" s="16">
        <v>2031</v>
      </c>
      <c r="C62" s="16">
        <v>11</v>
      </c>
      <c r="D62" s="17">
        <f>가정!$C$6*MIN(1,MAX(0,(A62-가정!$C$28+1)/가정!$C$30))</f>
        <v>0</v>
      </c>
      <c r="E62" s="17">
        <f>IF(가정!$C$7&lt;30000,1,0)*MIN(1,MAX(0,(A62-가정!$C$29+1)/가정!$C$30))</f>
        <v>0</v>
      </c>
      <c r="F62" s="16">
        <f>IF(가정!$C$7&lt;30000,1,0)*IF(A62&gt;=가정!$C$29,1,0)</f>
        <v>0</v>
      </c>
      <c r="G62" s="17">
        <f>가정!$C$8*MIN(1,MAX(0,(A62-가정!$C$31+1)/가정!$C$32))</f>
        <v>0</v>
      </c>
      <c r="H62" s="18">
        <f>가정!$C$37+D62*가정!$C$14+E62*가정!$C$18</f>
        <v>-5.0000000000000001E-3</v>
      </c>
      <c r="I62" s="17">
        <f t="shared" si="13"/>
        <v>14.954389186065082</v>
      </c>
      <c r="J62" s="17">
        <f>I62*(1+G62*가정!$C$19)</f>
        <v>14.954389186065082</v>
      </c>
      <c r="K62" s="17">
        <f>I62*가정!$C$36*(1+G62*가정!$C$19*가정!$C$24)</f>
        <v>7.4771945930325412</v>
      </c>
      <c r="L62" s="18">
        <f>가정!$C$38+D62*가정!$C$12+E62*가정!$C$17</f>
        <v>0.111</v>
      </c>
      <c r="M62" s="18">
        <f>가정!$C$38+가정!$C$23*(L62-가정!$C$38)</f>
        <v>0.111</v>
      </c>
      <c r="N62" s="19">
        <f t="shared" si="14"/>
        <v>504.5610813934905</v>
      </c>
      <c r="O62" s="20">
        <f>K62+가정!$C$33*M62+N62*L62</f>
        <v>108.54947462771</v>
      </c>
      <c r="P62" s="21">
        <f>가정!$C$39*(1+D62*가정!$C$13)</f>
        <v>1.2889999999999999</v>
      </c>
      <c r="Q62" s="21">
        <f>1+F62*가정!$C$15</f>
        <v>1</v>
      </c>
      <c r="R62" s="21">
        <f t="shared" si="8"/>
        <v>1.2889999999999999</v>
      </c>
      <c r="S62" s="20">
        <f t="shared" si="9"/>
        <v>139.92027279511817</v>
      </c>
      <c r="T62" s="19">
        <f>IF(F62=1,가정!$C$16,가정!$C$40)</f>
        <v>31846</v>
      </c>
      <c r="U62" s="20">
        <f t="shared" si="10"/>
        <v>445.59010074333332</v>
      </c>
      <c r="V62" s="20">
        <f>U62/(1-가정!$C$41)*가정!$C$42</f>
        <v>469.04221130877193</v>
      </c>
      <c r="W62" s="19">
        <f>가정!$C$33+N62+K62</f>
        <v>918.03827598652299</v>
      </c>
      <c r="X62" s="19">
        <f t="shared" si="15"/>
        <v>1128.0382759865224</v>
      </c>
      <c r="Y62" s="19">
        <f t="shared" si="11"/>
        <v>2046.0765519730453</v>
      </c>
      <c r="Z62" s="20">
        <f t="shared" si="12"/>
        <v>139.92027279511817</v>
      </c>
    </row>
    <row r="63" spans="1:26" x14ac:dyDescent="0.3">
      <c r="A63" s="22">
        <v>60</v>
      </c>
      <c r="B63" s="22">
        <v>2031</v>
      </c>
      <c r="C63" s="22">
        <v>12</v>
      </c>
      <c r="D63" s="23">
        <f>가정!$C$6*MIN(1,MAX(0,(A63-가정!$C$28+1)/가정!$C$30))</f>
        <v>0</v>
      </c>
      <c r="E63" s="23">
        <f>IF(가정!$C$7&lt;30000,1,0)*MIN(1,MAX(0,(A63-가정!$C$29+1)/가정!$C$30))</f>
        <v>0</v>
      </c>
      <c r="F63" s="22">
        <f>IF(가정!$C$7&lt;30000,1,0)*IF(A63&gt;=가정!$C$29,1,0)</f>
        <v>0</v>
      </c>
      <c r="G63" s="23">
        <f>가정!$C$8*MIN(1,MAX(0,(A63-가정!$C$31+1)/가정!$C$32))</f>
        <v>0</v>
      </c>
      <c r="H63" s="24">
        <f>가정!$C$37+D63*가정!$C$14+E63*가정!$C$18</f>
        <v>-5.0000000000000001E-3</v>
      </c>
      <c r="I63" s="23">
        <f t="shared" si="13"/>
        <v>14.879617240134756</v>
      </c>
      <c r="J63" s="23">
        <f>I63*(1+G63*가정!$C$19)</f>
        <v>14.879617240134756</v>
      </c>
      <c r="K63" s="23">
        <f>I63*가정!$C$36*(1+G63*가정!$C$19*가정!$C$24)</f>
        <v>7.4398086200673781</v>
      </c>
      <c r="L63" s="24">
        <f>가정!$C$38+D63*가정!$C$12+E63*가정!$C$17</f>
        <v>0.111</v>
      </c>
      <c r="M63" s="24">
        <f>가정!$C$38+가정!$C$23*(L63-가정!$C$38)</f>
        <v>0.111</v>
      </c>
      <c r="N63" s="25">
        <f t="shared" si="14"/>
        <v>512.03827598652299</v>
      </c>
      <c r="O63" s="26">
        <f>K63+가정!$C$33*M63+N63*L63</f>
        <v>109.34205725457144</v>
      </c>
      <c r="P63" s="27">
        <f>가정!$C$39*(1+D63*가정!$C$13)</f>
        <v>1.2889999999999999</v>
      </c>
      <c r="Q63" s="27">
        <f>1+F63*가정!$C$15</f>
        <v>1</v>
      </c>
      <c r="R63" s="27">
        <f t="shared" si="8"/>
        <v>1.2889999999999999</v>
      </c>
      <c r="S63" s="26">
        <f t="shared" si="9"/>
        <v>140.9419118011426</v>
      </c>
      <c r="T63" s="25">
        <f>IF(F63=1,가정!$C$16,가정!$C$40)</f>
        <v>31846</v>
      </c>
      <c r="U63" s="26">
        <f t="shared" si="10"/>
        <v>448.84361232191873</v>
      </c>
      <c r="V63" s="26">
        <f>U63/(1-가정!$C$41)*가정!$C$42</f>
        <v>472.46696033886184</v>
      </c>
      <c r="W63" s="25">
        <f>가정!$C$33+N63+K63</f>
        <v>925.47808460659041</v>
      </c>
      <c r="X63" s="25">
        <f t="shared" si="15"/>
        <v>1135.4780846065898</v>
      </c>
      <c r="Y63" s="25">
        <f t="shared" si="11"/>
        <v>2060.9561692131801</v>
      </c>
      <c r="Z63" s="26">
        <f t="shared" si="12"/>
        <v>140.9419118011426</v>
      </c>
    </row>
  </sheetData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63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V14" sqref="V7:V14"/>
    </sheetView>
  </sheetViews>
  <sheetFormatPr defaultRowHeight="16.5" x14ac:dyDescent="0.3"/>
  <cols>
    <col min="1" max="1" width="6" customWidth="1"/>
    <col min="2" max="2" width="7" customWidth="1"/>
    <col min="3" max="3" width="5" customWidth="1"/>
    <col min="4" max="5" width="8" customWidth="1"/>
    <col min="6" max="6" width="7" customWidth="1"/>
    <col min="7" max="8" width="9" customWidth="1"/>
    <col min="9" max="9" width="11" customWidth="1"/>
    <col min="10" max="10" width="10" customWidth="1"/>
    <col min="11" max="11" width="12" customWidth="1"/>
    <col min="12" max="14" width="11" customWidth="1"/>
    <col min="15" max="15" width="12" customWidth="1"/>
    <col min="16" max="16" width="10" customWidth="1"/>
    <col min="17" max="17" width="9" customWidth="1"/>
    <col min="18" max="18" width="10" customWidth="1"/>
    <col min="19" max="19" width="11" customWidth="1"/>
    <col min="20" max="20" width="10" customWidth="1"/>
    <col min="21" max="22" width="11" customWidth="1"/>
    <col min="23" max="23" width="12" customWidth="1"/>
    <col min="24" max="25" width="11" customWidth="1"/>
    <col min="26" max="26" width="12" customWidth="1"/>
  </cols>
  <sheetData>
    <row r="1" spans="1:26" ht="17.25" x14ac:dyDescent="0.3">
      <c r="A1" s="1" t="s">
        <v>131</v>
      </c>
    </row>
    <row r="2" spans="1:26" x14ac:dyDescent="0.3">
      <c r="A2" s="2" t="s">
        <v>105</v>
      </c>
    </row>
    <row r="3" spans="1:26" ht="39.950000000000003" customHeight="1" x14ac:dyDescent="0.3">
      <c r="A3" s="5" t="s">
        <v>53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5" t="s">
        <v>113</v>
      </c>
      <c r="J3" s="5" t="s">
        <v>114</v>
      </c>
      <c r="K3" s="5" t="s">
        <v>115</v>
      </c>
      <c r="L3" s="5" t="s">
        <v>116</v>
      </c>
      <c r="M3" s="5" t="s">
        <v>117</v>
      </c>
      <c r="N3" s="5" t="s">
        <v>118</v>
      </c>
      <c r="O3" s="5" t="s">
        <v>119</v>
      </c>
      <c r="P3" s="5" t="s">
        <v>120</v>
      </c>
      <c r="Q3" s="5" t="s">
        <v>121</v>
      </c>
      <c r="R3" s="5" t="s">
        <v>122</v>
      </c>
      <c r="S3" s="5" t="s">
        <v>123</v>
      </c>
      <c r="T3" s="5" t="s">
        <v>124</v>
      </c>
      <c r="U3" s="5" t="s">
        <v>125</v>
      </c>
      <c r="V3" s="5" t="s">
        <v>126</v>
      </c>
      <c r="W3" s="5" t="s">
        <v>127</v>
      </c>
      <c r="X3" s="5" t="s">
        <v>128</v>
      </c>
      <c r="Y3" s="5" t="s">
        <v>129</v>
      </c>
      <c r="Z3" s="5" t="s">
        <v>130</v>
      </c>
    </row>
    <row r="4" spans="1:26" x14ac:dyDescent="0.3">
      <c r="A4" s="16">
        <v>1</v>
      </c>
      <c r="B4" s="16">
        <v>2027</v>
      </c>
      <c r="C4" s="16">
        <v>1</v>
      </c>
      <c r="D4" s="17">
        <f>가정!$D$6*MIN(1,MAX(0,(A4-가정!$C$28+1)/가정!$C$30))</f>
        <v>0</v>
      </c>
      <c r="E4" s="17">
        <f>IF(가정!$D$7&lt;30000,1,0)*MIN(1,MAX(0,(A4-가정!$C$29+1)/가정!$C$30))</f>
        <v>0</v>
      </c>
      <c r="F4" s="16">
        <f>IF(가정!$D$7&lt;30000,1,0)*IF(A4&gt;=가정!$C$29,1,0)</f>
        <v>0</v>
      </c>
      <c r="G4" s="17">
        <f>가정!$D$8*MIN(1,MAX(0,(A4-가정!$C$31+1)/가정!$C$32))</f>
        <v>0</v>
      </c>
      <c r="H4" s="18">
        <f>가정!$C$37+D4*가정!$C$14+E4*가정!$C$18</f>
        <v>-5.0000000000000001E-3</v>
      </c>
      <c r="I4" s="17">
        <f>가정!$C$35</f>
        <v>20</v>
      </c>
      <c r="J4" s="17">
        <f>I4*(1+G4*가정!$C$19)</f>
        <v>20</v>
      </c>
      <c r="K4" s="17">
        <f>I4*가정!$C$36*(1+G4*가정!$C$19*가정!$C$24)</f>
        <v>10</v>
      </c>
      <c r="L4" s="18">
        <f>가정!$C$38+D4*가정!$C$12+E4*가정!$C$17</f>
        <v>0.111</v>
      </c>
      <c r="M4" s="18">
        <f>가정!$C$38+가정!$C$23*(L4-가정!$C$38)</f>
        <v>0.111</v>
      </c>
      <c r="N4" s="19">
        <f>0</f>
        <v>0</v>
      </c>
      <c r="O4" s="20">
        <f>K4+가정!$C$33*M4+N4*L4</f>
        <v>55.066000000000003</v>
      </c>
      <c r="P4" s="21">
        <f>가정!$C$39*(1+D4*가정!$C$13)</f>
        <v>1.2889999999999999</v>
      </c>
      <c r="Q4" s="21">
        <f>1+F4*가정!$C$15</f>
        <v>1</v>
      </c>
      <c r="R4" s="21">
        <f t="shared" ref="R4:R35" si="0">P4*Q4</f>
        <v>1.2889999999999999</v>
      </c>
      <c r="S4" s="20">
        <f t="shared" ref="S4:S35" si="1">O4*R4</f>
        <v>70.980074000000002</v>
      </c>
      <c r="T4" s="19">
        <f>IF(F4=1,가정!$C$16,가정!$C$40)</f>
        <v>31846</v>
      </c>
      <c r="U4" s="20">
        <f t="shared" ref="U4:U35" si="2">S4*T4/10000</f>
        <v>226.04314366040001</v>
      </c>
      <c r="V4" s="20">
        <f>U4/(1-가정!$C$41)*가정!$C$42</f>
        <v>237.94015122147371</v>
      </c>
      <c r="W4" s="19">
        <f>가정!$C$33+N4+K4</f>
        <v>416</v>
      </c>
      <c r="X4" s="19">
        <f>(가정!$C$34-가정!$C$33)+J4-K4</f>
        <v>626</v>
      </c>
      <c r="Y4" s="19">
        <f t="shared" ref="Y4:Y35" si="3">W4+X4</f>
        <v>1042</v>
      </c>
      <c r="Z4" s="20">
        <f t="shared" ref="Z4:Z35" si="4">O4*P4</f>
        <v>70.980074000000002</v>
      </c>
    </row>
    <row r="5" spans="1:26" x14ac:dyDescent="0.3">
      <c r="A5" s="16">
        <v>2</v>
      </c>
      <c r="B5" s="16">
        <v>2027</v>
      </c>
      <c r="C5" s="16">
        <v>2</v>
      </c>
      <c r="D5" s="17">
        <f>가정!$D$6*MIN(1,MAX(0,(A5-가정!$C$28+1)/가정!$C$30))</f>
        <v>0</v>
      </c>
      <c r="E5" s="17">
        <f>IF(가정!$D$7&lt;30000,1,0)*MIN(1,MAX(0,(A5-가정!$C$29+1)/가정!$C$30))</f>
        <v>0</v>
      </c>
      <c r="F5" s="16">
        <f>IF(가정!$D$7&lt;30000,1,0)*IF(A5&gt;=가정!$C$29,1,0)</f>
        <v>0</v>
      </c>
      <c r="G5" s="17">
        <f>가정!$D$8*MIN(1,MAX(0,(A5-가정!$C$31+1)/가정!$C$32))</f>
        <v>0</v>
      </c>
      <c r="H5" s="18">
        <f>가정!$C$37+D5*가정!$C$14+E5*가정!$C$18</f>
        <v>-5.0000000000000001E-3</v>
      </c>
      <c r="I5" s="17">
        <f t="shared" ref="I5:I36" si="5">I4*(1+H5)</f>
        <v>19.899999999999999</v>
      </c>
      <c r="J5" s="17">
        <f>I5*(1+G5*가정!$C$19)</f>
        <v>19.899999999999999</v>
      </c>
      <c r="K5" s="17">
        <f>I5*가정!$C$36*(1+G5*가정!$C$19*가정!$C$24)</f>
        <v>9.9499999999999993</v>
      </c>
      <c r="L5" s="18">
        <f>가정!$C$38+D5*가정!$C$12+E5*가정!$C$17</f>
        <v>0.111</v>
      </c>
      <c r="M5" s="18">
        <f>가정!$C$38+가정!$C$23*(L5-가정!$C$38)</f>
        <v>0.111</v>
      </c>
      <c r="N5" s="19">
        <f t="shared" ref="N5:N36" si="6">N4+K4</f>
        <v>10</v>
      </c>
      <c r="O5" s="20">
        <f>K5+가정!$C$33*M5+N5*L5</f>
        <v>56.126000000000005</v>
      </c>
      <c r="P5" s="21">
        <f>가정!$C$39*(1+D5*가정!$C$13)</f>
        <v>1.2889999999999999</v>
      </c>
      <c r="Q5" s="21">
        <f>1+F5*가정!$C$15</f>
        <v>1</v>
      </c>
      <c r="R5" s="21">
        <f t="shared" si="0"/>
        <v>1.2889999999999999</v>
      </c>
      <c r="S5" s="20">
        <f t="shared" si="1"/>
        <v>72.346413999999996</v>
      </c>
      <c r="T5" s="19">
        <f>IF(F5=1,가정!$C$16,가정!$C$40)</f>
        <v>31846</v>
      </c>
      <c r="U5" s="20">
        <f t="shared" si="2"/>
        <v>230.3943900244</v>
      </c>
      <c r="V5" s="20">
        <f>U5/(1-가정!$C$41)*가정!$C$42</f>
        <v>242.52041055200002</v>
      </c>
      <c r="W5" s="19">
        <f>가정!$C$33+N5+K5</f>
        <v>425.95</v>
      </c>
      <c r="X5" s="19">
        <f t="shared" ref="X5:X36" si="7">X4+J5-K5</f>
        <v>635.94999999999993</v>
      </c>
      <c r="Y5" s="19">
        <f t="shared" si="3"/>
        <v>1061.8999999999999</v>
      </c>
      <c r="Z5" s="20">
        <f t="shared" si="4"/>
        <v>72.346413999999996</v>
      </c>
    </row>
    <row r="6" spans="1:26" x14ac:dyDescent="0.3">
      <c r="A6" s="16">
        <v>3</v>
      </c>
      <c r="B6" s="16">
        <v>2027</v>
      </c>
      <c r="C6" s="16">
        <v>3</v>
      </c>
      <c r="D6" s="17">
        <f>가정!$D$6*MIN(1,MAX(0,(A6-가정!$C$28+1)/가정!$C$30))</f>
        <v>0</v>
      </c>
      <c r="E6" s="17">
        <f>IF(가정!$D$7&lt;30000,1,0)*MIN(1,MAX(0,(A6-가정!$C$29+1)/가정!$C$30))</f>
        <v>0</v>
      </c>
      <c r="F6" s="16">
        <f>IF(가정!$D$7&lt;30000,1,0)*IF(A6&gt;=가정!$C$29,1,0)</f>
        <v>0</v>
      </c>
      <c r="G6" s="17">
        <f>가정!$D$8*MIN(1,MAX(0,(A6-가정!$C$31+1)/가정!$C$32))</f>
        <v>0</v>
      </c>
      <c r="H6" s="18">
        <f>가정!$C$37+D6*가정!$C$14+E6*가정!$C$18</f>
        <v>-5.0000000000000001E-3</v>
      </c>
      <c r="I6" s="17">
        <f t="shared" si="5"/>
        <v>19.8005</v>
      </c>
      <c r="J6" s="17">
        <f>I6*(1+G6*가정!$C$19)</f>
        <v>19.8005</v>
      </c>
      <c r="K6" s="17">
        <f>I6*가정!$C$36*(1+G6*가정!$C$19*가정!$C$24)</f>
        <v>9.9002499999999998</v>
      </c>
      <c r="L6" s="18">
        <f>가정!$C$38+D6*가정!$C$12+E6*가정!$C$17</f>
        <v>0.111</v>
      </c>
      <c r="M6" s="18">
        <f>가정!$C$38+가정!$C$23*(L6-가정!$C$38)</f>
        <v>0.111</v>
      </c>
      <c r="N6" s="19">
        <f t="shared" si="6"/>
        <v>19.95</v>
      </c>
      <c r="O6" s="20">
        <f>K6+가정!$C$33*M6+N6*L6</f>
        <v>57.180700000000002</v>
      </c>
      <c r="P6" s="21">
        <f>가정!$C$39*(1+D6*가정!$C$13)</f>
        <v>1.2889999999999999</v>
      </c>
      <c r="Q6" s="21">
        <f>1+F6*가정!$C$15</f>
        <v>1</v>
      </c>
      <c r="R6" s="21">
        <f t="shared" si="0"/>
        <v>1.2889999999999999</v>
      </c>
      <c r="S6" s="20">
        <f t="shared" si="1"/>
        <v>73.705922299999997</v>
      </c>
      <c r="T6" s="19">
        <f>IF(F6=1,가정!$C$16,가정!$C$40)</f>
        <v>31846</v>
      </c>
      <c r="U6" s="20">
        <f t="shared" si="2"/>
        <v>234.72388015657998</v>
      </c>
      <c r="V6" s="20">
        <f>U6/(1-가정!$C$41)*가정!$C$42</f>
        <v>247.07776858587368</v>
      </c>
      <c r="W6" s="19">
        <f>가정!$C$33+N6+K6</f>
        <v>435.85024999999996</v>
      </c>
      <c r="X6" s="19">
        <f t="shared" si="7"/>
        <v>645.85024999999985</v>
      </c>
      <c r="Y6" s="19">
        <f t="shared" si="3"/>
        <v>1081.7004999999999</v>
      </c>
      <c r="Z6" s="20">
        <f t="shared" si="4"/>
        <v>73.705922299999997</v>
      </c>
    </row>
    <row r="7" spans="1:26" x14ac:dyDescent="0.3">
      <c r="A7" s="16">
        <v>4</v>
      </c>
      <c r="B7" s="16">
        <v>2027</v>
      </c>
      <c r="C7" s="16">
        <v>4</v>
      </c>
      <c r="D7" s="17">
        <f>가정!$D$6*MIN(1,MAX(0,(A7-가정!$C$28+1)/가정!$C$30))</f>
        <v>0</v>
      </c>
      <c r="E7" s="17">
        <f>IF(가정!$D$7&lt;30000,1,0)*MIN(1,MAX(0,(A7-가정!$C$29+1)/가정!$C$30))</f>
        <v>0</v>
      </c>
      <c r="F7" s="16">
        <f>IF(가정!$D$7&lt;30000,1,0)*IF(A7&gt;=가정!$C$29,1,0)</f>
        <v>0</v>
      </c>
      <c r="G7" s="17">
        <f>가정!$D$8*MIN(1,MAX(0,(A7-가정!$C$31+1)/가정!$C$32))</f>
        <v>0</v>
      </c>
      <c r="H7" s="18">
        <f>가정!$C$37+D7*가정!$C$14+E7*가정!$C$18</f>
        <v>-5.0000000000000001E-3</v>
      </c>
      <c r="I7" s="17">
        <f t="shared" si="5"/>
        <v>19.701497499999999</v>
      </c>
      <c r="J7" s="17">
        <f>I7*(1+G7*가정!$C$19)</f>
        <v>19.701497499999999</v>
      </c>
      <c r="K7" s="17">
        <f>I7*가정!$C$36*(1+G7*가정!$C$19*가정!$C$24)</f>
        <v>9.8507487499999993</v>
      </c>
      <c r="L7" s="18">
        <f>가정!$C$38+D7*가정!$C$12+E7*가정!$C$17</f>
        <v>0.111</v>
      </c>
      <c r="M7" s="18">
        <f>가정!$C$38+가정!$C$23*(L7-가정!$C$38)</f>
        <v>0.111</v>
      </c>
      <c r="N7" s="19">
        <f t="shared" si="6"/>
        <v>29.850249999999999</v>
      </c>
      <c r="O7" s="20">
        <f>K7+가정!$C$33*M7+N7*L7</f>
        <v>58.230126500000004</v>
      </c>
      <c r="P7" s="21">
        <f>가정!$C$39*(1+D7*가정!$C$13)</f>
        <v>1.2889999999999999</v>
      </c>
      <c r="Q7" s="21">
        <f>1+F7*가정!$C$15</f>
        <v>1</v>
      </c>
      <c r="R7" s="21">
        <f t="shared" si="0"/>
        <v>1.2889999999999999</v>
      </c>
      <c r="S7" s="20">
        <f t="shared" si="1"/>
        <v>75.058633058500007</v>
      </c>
      <c r="T7" s="19">
        <f>IF(F7=1,가정!$C$16,가정!$C$40)</f>
        <v>31846</v>
      </c>
      <c r="U7" s="20">
        <f t="shared" si="2"/>
        <v>239.03172283809911</v>
      </c>
      <c r="V7" s="20">
        <f>U7/(1-가정!$C$41)*가정!$C$42</f>
        <v>251.61233982957802</v>
      </c>
      <c r="W7" s="19">
        <f>가정!$C$33+N7+K7</f>
        <v>445.70099875</v>
      </c>
      <c r="X7" s="19">
        <f t="shared" si="7"/>
        <v>655.70099874999983</v>
      </c>
      <c r="Y7" s="19">
        <f t="shared" si="3"/>
        <v>1101.4019974999999</v>
      </c>
      <c r="Z7" s="20">
        <f t="shared" si="4"/>
        <v>75.058633058500007</v>
      </c>
    </row>
    <row r="8" spans="1:26" x14ac:dyDescent="0.3">
      <c r="A8" s="16">
        <v>5</v>
      </c>
      <c r="B8" s="16">
        <v>2027</v>
      </c>
      <c r="C8" s="16">
        <v>5</v>
      </c>
      <c r="D8" s="17">
        <f>가정!$D$6*MIN(1,MAX(0,(A8-가정!$C$28+1)/가정!$C$30))</f>
        <v>0</v>
      </c>
      <c r="E8" s="17">
        <f>IF(가정!$D$7&lt;30000,1,0)*MIN(1,MAX(0,(A8-가정!$C$29+1)/가정!$C$30))</f>
        <v>0</v>
      </c>
      <c r="F8" s="16">
        <f>IF(가정!$D$7&lt;30000,1,0)*IF(A8&gt;=가정!$C$29,1,0)</f>
        <v>0</v>
      </c>
      <c r="G8" s="17">
        <f>가정!$D$8*MIN(1,MAX(0,(A8-가정!$C$31+1)/가정!$C$32))</f>
        <v>0</v>
      </c>
      <c r="H8" s="18">
        <f>가정!$C$37+D8*가정!$C$14+E8*가정!$C$18</f>
        <v>-5.0000000000000001E-3</v>
      </c>
      <c r="I8" s="17">
        <f t="shared" si="5"/>
        <v>19.602990012499998</v>
      </c>
      <c r="J8" s="17">
        <f>I8*(1+G8*가정!$C$19)</f>
        <v>19.602990012499998</v>
      </c>
      <c r="K8" s="17">
        <f>I8*가정!$C$36*(1+G8*가정!$C$19*가정!$C$24)</f>
        <v>9.8014950062499988</v>
      </c>
      <c r="L8" s="18">
        <f>가정!$C$38+D8*가정!$C$12+E8*가정!$C$17</f>
        <v>0.111</v>
      </c>
      <c r="M8" s="18">
        <f>가정!$C$38+가정!$C$23*(L8-가정!$C$38)</f>
        <v>0.111</v>
      </c>
      <c r="N8" s="19">
        <f t="shared" si="6"/>
        <v>39.700998749999997</v>
      </c>
      <c r="O8" s="20">
        <f>K8+가정!$C$33*M8+N8*L8</f>
        <v>59.274305867500004</v>
      </c>
      <c r="P8" s="21">
        <f>가정!$C$39*(1+D8*가정!$C$13)</f>
        <v>1.2889999999999999</v>
      </c>
      <c r="Q8" s="21">
        <f>1+F8*가정!$C$15</f>
        <v>1</v>
      </c>
      <c r="R8" s="21">
        <f t="shared" si="0"/>
        <v>1.2889999999999999</v>
      </c>
      <c r="S8" s="20">
        <f t="shared" si="1"/>
        <v>76.404580263207507</v>
      </c>
      <c r="T8" s="19">
        <f>IF(F8=1,가정!$C$16,가정!$C$40)</f>
        <v>31846</v>
      </c>
      <c r="U8" s="20">
        <f t="shared" si="2"/>
        <v>243.31802630621064</v>
      </c>
      <c r="V8" s="20">
        <f>U8/(1-가정!$C$41)*가정!$C$42</f>
        <v>256.12423821706386</v>
      </c>
      <c r="W8" s="19">
        <f>가정!$C$33+N8+K8</f>
        <v>455.50249375624998</v>
      </c>
      <c r="X8" s="19">
        <f t="shared" si="7"/>
        <v>665.50249375624981</v>
      </c>
      <c r="Y8" s="19">
        <f t="shared" si="3"/>
        <v>1121.0049875124998</v>
      </c>
      <c r="Z8" s="20">
        <f t="shared" si="4"/>
        <v>76.404580263207507</v>
      </c>
    </row>
    <row r="9" spans="1:26" x14ac:dyDescent="0.3">
      <c r="A9" s="16">
        <v>6</v>
      </c>
      <c r="B9" s="16">
        <v>2027</v>
      </c>
      <c r="C9" s="16">
        <v>6</v>
      </c>
      <c r="D9" s="17">
        <f>가정!$D$6*MIN(1,MAX(0,(A9-가정!$C$28+1)/가정!$C$30))</f>
        <v>2.0833333333333332E-2</v>
      </c>
      <c r="E9" s="17">
        <f>IF(가정!$D$7&lt;30000,1,0)*MIN(1,MAX(0,(A9-가정!$C$29+1)/가정!$C$30))</f>
        <v>0</v>
      </c>
      <c r="F9" s="16">
        <f>IF(가정!$D$7&lt;30000,1,0)*IF(A9&gt;=가정!$C$29,1,0)</f>
        <v>0</v>
      </c>
      <c r="G9" s="17">
        <f>가정!$D$8*MIN(1,MAX(0,(A9-가정!$C$31+1)/가정!$C$32))</f>
        <v>0</v>
      </c>
      <c r="H9" s="18">
        <f>가정!$C$37+D9*가정!$C$14+E9*가정!$C$18</f>
        <v>-4.9583333333333337E-3</v>
      </c>
      <c r="I9" s="17">
        <f t="shared" si="5"/>
        <v>19.50579185368802</v>
      </c>
      <c r="J9" s="17">
        <f>I9*(1+G9*가정!$C$19)</f>
        <v>19.50579185368802</v>
      </c>
      <c r="K9" s="17">
        <f>I9*가정!$C$36*(1+G9*가정!$C$19*가정!$C$24)</f>
        <v>9.7528959268440101</v>
      </c>
      <c r="L9" s="18">
        <f>가정!$C$38+D9*가정!$C$12+E9*가정!$C$17</f>
        <v>0.11139583333333333</v>
      </c>
      <c r="M9" s="18">
        <f>가정!$C$38+가정!$C$23*(L9-가정!$C$38)</f>
        <v>0.11139583333333333</v>
      </c>
      <c r="N9" s="19">
        <f t="shared" si="6"/>
        <v>49.502493756249997</v>
      </c>
      <c r="O9" s="20">
        <f>K9+가정!$C$33*M9+N9*L9</f>
        <v>60.493975804232946</v>
      </c>
      <c r="P9" s="21">
        <f>가정!$C$39*(1+D9*가정!$C$13)</f>
        <v>1.2943708333333332</v>
      </c>
      <c r="Q9" s="21">
        <f>1+F9*가정!$C$15</f>
        <v>1</v>
      </c>
      <c r="R9" s="21">
        <f t="shared" si="0"/>
        <v>1.2943708333333332</v>
      </c>
      <c r="S9" s="20">
        <f t="shared" si="1"/>
        <v>78.30163787337149</v>
      </c>
      <c r="T9" s="19">
        <f>IF(F9=1,가정!$C$16,가정!$C$40)</f>
        <v>31846</v>
      </c>
      <c r="U9" s="20">
        <f t="shared" si="2"/>
        <v>249.35939597153882</v>
      </c>
      <c r="V9" s="20">
        <f>U9/(1-가정!$C$41)*가정!$C$42</f>
        <v>262.48357470688296</v>
      </c>
      <c r="W9" s="19">
        <f>가정!$C$33+N9+K9</f>
        <v>465.25538968309399</v>
      </c>
      <c r="X9" s="19">
        <f t="shared" si="7"/>
        <v>675.25538968309388</v>
      </c>
      <c r="Y9" s="19">
        <f t="shared" si="3"/>
        <v>1140.5107793661878</v>
      </c>
      <c r="Z9" s="20">
        <f t="shared" si="4"/>
        <v>78.30163787337149</v>
      </c>
    </row>
    <row r="10" spans="1:26" x14ac:dyDescent="0.3">
      <c r="A10" s="16">
        <v>7</v>
      </c>
      <c r="B10" s="16">
        <v>2027</v>
      </c>
      <c r="C10" s="16">
        <v>7</v>
      </c>
      <c r="D10" s="17">
        <f>가정!$D$6*MIN(1,MAX(0,(A10-가정!$C$28+1)/가정!$C$30))</f>
        <v>4.1666666666666664E-2</v>
      </c>
      <c r="E10" s="17">
        <f>IF(가정!$D$7&lt;30000,1,0)*MIN(1,MAX(0,(A10-가정!$C$29+1)/가정!$C$30))</f>
        <v>0</v>
      </c>
      <c r="F10" s="16">
        <f>IF(가정!$D$7&lt;30000,1,0)*IF(A10&gt;=가정!$C$29,1,0)</f>
        <v>0</v>
      </c>
      <c r="G10" s="17">
        <f>가정!$D$8*MIN(1,MAX(0,(A10-가정!$C$31+1)/가정!$C$32))</f>
        <v>0</v>
      </c>
      <c r="H10" s="18">
        <f>가정!$C$37+D10*가정!$C$14+E10*가정!$C$18</f>
        <v>-4.9166666666666664E-3</v>
      </c>
      <c r="I10" s="17">
        <f t="shared" si="5"/>
        <v>19.409888377074054</v>
      </c>
      <c r="J10" s="17">
        <f>I10*(1+G10*가정!$C$19)</f>
        <v>19.409888377074054</v>
      </c>
      <c r="K10" s="17">
        <f>I10*가정!$C$36*(1+G10*가정!$C$19*가정!$C$24)</f>
        <v>9.7049441885370271</v>
      </c>
      <c r="L10" s="18">
        <f>가정!$C$38+D10*가정!$C$12+E10*가정!$C$17</f>
        <v>0.11179166666666666</v>
      </c>
      <c r="M10" s="18">
        <f>가정!$C$38+가정!$C$23*(L10-가정!$C$38)</f>
        <v>0.11179166666666666</v>
      </c>
      <c r="N10" s="19">
        <f t="shared" si="6"/>
        <v>59.255389683094009</v>
      </c>
      <c r="O10" s="20">
        <f>K10+가정!$C$33*M10+N10*L10</f>
        <v>61.716619626859575</v>
      </c>
      <c r="P10" s="21">
        <f>가정!$C$39*(1+D10*가정!$C$13)</f>
        <v>1.2997416666666666</v>
      </c>
      <c r="Q10" s="21">
        <f>1+F10*가정!$C$15</f>
        <v>1</v>
      </c>
      <c r="R10" s="21">
        <f t="shared" si="0"/>
        <v>1.2997416666666666</v>
      </c>
      <c r="S10" s="20">
        <f t="shared" si="1"/>
        <v>80.215662054847172</v>
      </c>
      <c r="T10" s="19">
        <f>IF(F10=1,가정!$C$16,가정!$C$40)</f>
        <v>31846</v>
      </c>
      <c r="U10" s="20">
        <f t="shared" si="2"/>
        <v>255.45479737986628</v>
      </c>
      <c r="V10" s="20">
        <f>U10/(1-가정!$C$41)*가정!$C$42</f>
        <v>268.8997867156487</v>
      </c>
      <c r="W10" s="19">
        <f>가정!$C$33+N10+K10</f>
        <v>474.96033387163101</v>
      </c>
      <c r="X10" s="19">
        <f t="shared" si="7"/>
        <v>684.96033387163084</v>
      </c>
      <c r="Y10" s="19">
        <f t="shared" si="3"/>
        <v>1159.9206677432619</v>
      </c>
      <c r="Z10" s="20">
        <f t="shared" si="4"/>
        <v>80.215662054847172</v>
      </c>
    </row>
    <row r="11" spans="1:26" x14ac:dyDescent="0.3">
      <c r="A11" s="16">
        <v>8</v>
      </c>
      <c r="B11" s="16">
        <v>2027</v>
      </c>
      <c r="C11" s="16">
        <v>8</v>
      </c>
      <c r="D11" s="17">
        <f>가정!$D$6*MIN(1,MAX(0,(A11-가정!$C$28+1)/가정!$C$30))</f>
        <v>6.25E-2</v>
      </c>
      <c r="E11" s="17">
        <f>IF(가정!$D$7&lt;30000,1,0)*MIN(1,MAX(0,(A11-가정!$C$29+1)/가정!$C$30))</f>
        <v>0</v>
      </c>
      <c r="F11" s="16">
        <f>IF(가정!$D$7&lt;30000,1,0)*IF(A11&gt;=가정!$C$29,1,0)</f>
        <v>0</v>
      </c>
      <c r="G11" s="17">
        <f>가정!$D$8*MIN(1,MAX(0,(A11-가정!$C$31+1)/가정!$C$32))</f>
        <v>0</v>
      </c>
      <c r="H11" s="18">
        <f>가정!$C$37+D11*가정!$C$14+E11*가정!$C$18</f>
        <v>-4.875E-3</v>
      </c>
      <c r="I11" s="17">
        <f t="shared" si="5"/>
        <v>19.315265171235819</v>
      </c>
      <c r="J11" s="17">
        <f>I11*(1+G11*가정!$C$19)</f>
        <v>19.315265171235819</v>
      </c>
      <c r="K11" s="17">
        <f>I11*가정!$C$36*(1+G11*가정!$C$19*가정!$C$24)</f>
        <v>9.6576325856179093</v>
      </c>
      <c r="L11" s="18">
        <f>가정!$C$38+D11*가정!$C$12+E11*가정!$C$17</f>
        <v>0.1121875</v>
      </c>
      <c r="M11" s="18">
        <f>가정!$C$38+가정!$C$23*(L11-가정!$C$38)</f>
        <v>0.1121875</v>
      </c>
      <c r="N11" s="19">
        <f t="shared" si="6"/>
        <v>68.960333871631036</v>
      </c>
      <c r="O11" s="20">
        <f>K11+가정!$C$33*M11+N11*L11</f>
        <v>62.942245041841517</v>
      </c>
      <c r="P11" s="21">
        <f>가정!$C$39*(1+D11*가정!$C$13)</f>
        <v>1.3051124999999999</v>
      </c>
      <c r="Q11" s="21">
        <f>1+F11*가정!$C$15</f>
        <v>1</v>
      </c>
      <c r="R11" s="21">
        <f t="shared" si="0"/>
        <v>1.3051124999999999</v>
      </c>
      <c r="S11" s="20">
        <f t="shared" si="1"/>
        <v>82.146710782170373</v>
      </c>
      <c r="T11" s="19">
        <f>IF(F11=1,가정!$C$16,가정!$C$40)</f>
        <v>31846</v>
      </c>
      <c r="U11" s="20">
        <f t="shared" si="2"/>
        <v>261.60441515689979</v>
      </c>
      <c r="V11" s="20">
        <f>U11/(1-가정!$C$41)*가정!$C$42</f>
        <v>275.37306858621031</v>
      </c>
      <c r="W11" s="19">
        <f>가정!$C$33+N11+K11</f>
        <v>484.617966457249</v>
      </c>
      <c r="X11" s="19">
        <f t="shared" si="7"/>
        <v>694.61796645724883</v>
      </c>
      <c r="Y11" s="19">
        <f t="shared" si="3"/>
        <v>1179.2359329144979</v>
      </c>
      <c r="Z11" s="20">
        <f t="shared" si="4"/>
        <v>82.146710782170373</v>
      </c>
    </row>
    <row r="12" spans="1:26" x14ac:dyDescent="0.3">
      <c r="A12" s="16">
        <v>9</v>
      </c>
      <c r="B12" s="16">
        <v>2027</v>
      </c>
      <c r="C12" s="16">
        <v>9</v>
      </c>
      <c r="D12" s="17">
        <f>가정!$D$6*MIN(1,MAX(0,(A12-가정!$C$28+1)/가정!$C$30))</f>
        <v>8.3333333333333329E-2</v>
      </c>
      <c r="E12" s="17">
        <f>IF(가정!$D$7&lt;30000,1,0)*MIN(1,MAX(0,(A12-가정!$C$29+1)/가정!$C$30))</f>
        <v>0</v>
      </c>
      <c r="F12" s="16">
        <f>IF(가정!$D$7&lt;30000,1,0)*IF(A12&gt;=가정!$C$29,1,0)</f>
        <v>0</v>
      </c>
      <c r="G12" s="17">
        <f>가정!$D$8*MIN(1,MAX(0,(A12-가정!$C$31+1)/가정!$C$32))</f>
        <v>0</v>
      </c>
      <c r="H12" s="18">
        <f>가정!$C$37+D12*가정!$C$14+E12*가정!$C$18</f>
        <v>-4.8333333333333336E-3</v>
      </c>
      <c r="I12" s="17">
        <f t="shared" si="5"/>
        <v>19.22190805624151</v>
      </c>
      <c r="J12" s="17">
        <f>I12*(1+G12*가정!$C$19)</f>
        <v>19.22190805624151</v>
      </c>
      <c r="K12" s="17">
        <f>I12*가정!$C$36*(1+G12*가정!$C$19*가정!$C$24)</f>
        <v>9.6109540281207551</v>
      </c>
      <c r="L12" s="18">
        <f>가정!$C$38+D12*가정!$C$12+E12*가정!$C$17</f>
        <v>0.11258333333333334</v>
      </c>
      <c r="M12" s="18">
        <f>가정!$C$38+가정!$C$23*(L12-가정!$C$38)</f>
        <v>0.11258333333333334</v>
      </c>
      <c r="N12" s="19">
        <f t="shared" si="6"/>
        <v>78.61796645724894</v>
      </c>
      <c r="O12" s="20">
        <f>K12+가정!$C$33*M12+N12*L12</f>
        <v>64.170860085099363</v>
      </c>
      <c r="P12" s="21">
        <f>가정!$C$39*(1+D12*가정!$C$13)</f>
        <v>1.3104833333333332</v>
      </c>
      <c r="Q12" s="21">
        <f>1+F12*가정!$C$15</f>
        <v>1</v>
      </c>
      <c r="R12" s="21">
        <f t="shared" si="0"/>
        <v>1.3104833333333332</v>
      </c>
      <c r="S12" s="20">
        <f t="shared" si="1"/>
        <v>84.094842627187958</v>
      </c>
      <c r="T12" s="19">
        <f>IF(F12=1,가정!$C$16,가정!$C$40)</f>
        <v>31846</v>
      </c>
      <c r="U12" s="20">
        <f t="shared" si="2"/>
        <v>267.80843583054275</v>
      </c>
      <c r="V12" s="20">
        <f>U12/(1-가정!$C$41)*가정!$C$42</f>
        <v>281.90361666372922</v>
      </c>
      <c r="W12" s="19">
        <f>가정!$C$33+N12+K12</f>
        <v>494.22892048536971</v>
      </c>
      <c r="X12" s="19">
        <f t="shared" si="7"/>
        <v>704.2289204853696</v>
      </c>
      <c r="Y12" s="19">
        <f t="shared" si="3"/>
        <v>1198.4578409707392</v>
      </c>
      <c r="Z12" s="20">
        <f t="shared" si="4"/>
        <v>84.094842627187958</v>
      </c>
    </row>
    <row r="13" spans="1:26" x14ac:dyDescent="0.3">
      <c r="A13" s="16">
        <v>10</v>
      </c>
      <c r="B13" s="16">
        <v>2027</v>
      </c>
      <c r="C13" s="16">
        <v>10</v>
      </c>
      <c r="D13" s="17">
        <f>가정!$D$6*MIN(1,MAX(0,(A13-가정!$C$28+1)/가정!$C$30))</f>
        <v>0.10416666666666667</v>
      </c>
      <c r="E13" s="17">
        <f>IF(가정!$D$7&lt;30000,1,0)*MIN(1,MAX(0,(A13-가정!$C$29+1)/가정!$C$30))</f>
        <v>0</v>
      </c>
      <c r="F13" s="16">
        <f>IF(가정!$D$7&lt;30000,1,0)*IF(A13&gt;=가정!$C$29,1,0)</f>
        <v>0</v>
      </c>
      <c r="G13" s="17">
        <f>가정!$D$8*MIN(1,MAX(0,(A13-가정!$C$31+1)/가정!$C$32))</f>
        <v>0</v>
      </c>
      <c r="H13" s="18">
        <f>가정!$C$37+D13*가정!$C$14+E13*가정!$C$18</f>
        <v>-4.7916666666666672E-3</v>
      </c>
      <c r="I13" s="17">
        <f t="shared" si="5"/>
        <v>19.129803080138686</v>
      </c>
      <c r="J13" s="17">
        <f>I13*(1+G13*가정!$C$19)</f>
        <v>19.129803080138686</v>
      </c>
      <c r="K13" s="17">
        <f>I13*가정!$C$36*(1+G13*가정!$C$19*가정!$C$24)</f>
        <v>9.5649015400693429</v>
      </c>
      <c r="L13" s="18">
        <f>가정!$C$38+D13*가정!$C$12+E13*가정!$C$17</f>
        <v>0.11297916666666667</v>
      </c>
      <c r="M13" s="18">
        <f>가정!$C$38+가정!$C$23*(L13-가정!$C$38)</f>
        <v>0.11297916666666667</v>
      </c>
      <c r="N13" s="19">
        <f t="shared" si="6"/>
        <v>88.228920485369699</v>
      </c>
      <c r="O13" s="20">
        <f>K13+가정!$C$33*M13+N13*L13</f>
        <v>65.402473119072681</v>
      </c>
      <c r="P13" s="21">
        <f>가정!$C$39*(1+D13*가정!$C$13)</f>
        <v>1.3158541666666665</v>
      </c>
      <c r="Q13" s="21">
        <f>1+F13*가정!$C$15</f>
        <v>1</v>
      </c>
      <c r="R13" s="21">
        <f t="shared" si="0"/>
        <v>1.3158541666666665</v>
      </c>
      <c r="S13" s="20">
        <f t="shared" si="1"/>
        <v>86.060116764036437</v>
      </c>
      <c r="T13" s="19">
        <f>IF(F13=1,가정!$C$16,가정!$C$40)</f>
        <v>31846</v>
      </c>
      <c r="U13" s="20">
        <f t="shared" si="2"/>
        <v>274.06704784675043</v>
      </c>
      <c r="V13" s="20">
        <f>U13/(1-가정!$C$41)*가정!$C$42</f>
        <v>288.4916293123689</v>
      </c>
      <c r="W13" s="19">
        <f>가정!$C$33+N13+K13</f>
        <v>503.79382202543906</v>
      </c>
      <c r="X13" s="19">
        <f t="shared" si="7"/>
        <v>713.79382202543889</v>
      </c>
      <c r="Y13" s="19">
        <f t="shared" si="3"/>
        <v>1217.587644050878</v>
      </c>
      <c r="Z13" s="20">
        <f t="shared" si="4"/>
        <v>86.060116764036437</v>
      </c>
    </row>
    <row r="14" spans="1:26" x14ac:dyDescent="0.3">
      <c r="A14" s="16">
        <v>11</v>
      </c>
      <c r="B14" s="16">
        <v>2027</v>
      </c>
      <c r="C14" s="16">
        <v>11</v>
      </c>
      <c r="D14" s="17">
        <f>가정!$D$6*MIN(1,MAX(0,(A14-가정!$C$28+1)/가정!$C$30))</f>
        <v>0.125</v>
      </c>
      <c r="E14" s="17">
        <f>IF(가정!$D$7&lt;30000,1,0)*MIN(1,MAX(0,(A14-가정!$C$29+1)/가정!$C$30))</f>
        <v>0</v>
      </c>
      <c r="F14" s="16">
        <f>IF(가정!$D$7&lt;30000,1,0)*IF(A14&gt;=가정!$C$29,1,0)</f>
        <v>0</v>
      </c>
      <c r="G14" s="17">
        <f>가정!$D$8*MIN(1,MAX(0,(A14-가정!$C$31+1)/가정!$C$32))</f>
        <v>0</v>
      </c>
      <c r="H14" s="18">
        <f>가정!$C$37+D14*가정!$C$14+E14*가정!$C$18</f>
        <v>-4.7499999999999999E-3</v>
      </c>
      <c r="I14" s="17">
        <f t="shared" si="5"/>
        <v>19.038936515508027</v>
      </c>
      <c r="J14" s="17">
        <f>I14*(1+G14*가정!$C$19)</f>
        <v>19.038936515508027</v>
      </c>
      <c r="K14" s="17">
        <f>I14*가정!$C$36*(1+G14*가정!$C$19*가정!$C$24)</f>
        <v>9.5194682577540135</v>
      </c>
      <c r="L14" s="18">
        <f>가정!$C$38+D14*가정!$C$12+E14*가정!$C$17</f>
        <v>0.113375</v>
      </c>
      <c r="M14" s="18">
        <f>가정!$C$38+가정!$C$23*(L14-가정!$C$38)</f>
        <v>0.113375</v>
      </c>
      <c r="N14" s="19">
        <f t="shared" si="6"/>
        <v>97.793822025439042</v>
      </c>
      <c r="O14" s="20">
        <f>K14+가정!$C$33*M14+N14*L14</f>
        <v>66.637092829888161</v>
      </c>
      <c r="P14" s="21">
        <f>가정!$C$39*(1+D14*가정!$C$13)</f>
        <v>1.3212249999999999</v>
      </c>
      <c r="Q14" s="21">
        <f>1+F14*가정!$C$15</f>
        <v>1</v>
      </c>
      <c r="R14" s="21">
        <f t="shared" si="0"/>
        <v>1.3212249999999999</v>
      </c>
      <c r="S14" s="20">
        <f t="shared" si="1"/>
        <v>88.042592974168983</v>
      </c>
      <c r="T14" s="19">
        <f>IF(F14=1,가정!$C$16,가정!$C$40)</f>
        <v>31846</v>
      </c>
      <c r="U14" s="20">
        <f t="shared" si="2"/>
        <v>280.38044158553856</v>
      </c>
      <c r="V14" s="20">
        <f>U14/(1-가정!$C$41)*가정!$C$42</f>
        <v>295.13730693214586</v>
      </c>
      <c r="W14" s="19">
        <f>가정!$C$33+N14+K14</f>
        <v>513.31329028319306</v>
      </c>
      <c r="X14" s="19">
        <f t="shared" si="7"/>
        <v>723.31329028319283</v>
      </c>
      <c r="Y14" s="19">
        <f t="shared" si="3"/>
        <v>1236.6265805663859</v>
      </c>
      <c r="Z14" s="20">
        <f t="shared" si="4"/>
        <v>88.042592974168983</v>
      </c>
    </row>
    <row r="15" spans="1:26" x14ac:dyDescent="0.3">
      <c r="A15" s="22">
        <v>12</v>
      </c>
      <c r="B15" s="22">
        <v>2027</v>
      </c>
      <c r="C15" s="22">
        <v>12</v>
      </c>
      <c r="D15" s="23">
        <f>가정!$D$6*MIN(1,MAX(0,(A15-가정!$C$28+1)/가정!$C$30))</f>
        <v>0.14583333333333334</v>
      </c>
      <c r="E15" s="23">
        <f>IF(가정!$D$7&lt;30000,1,0)*MIN(1,MAX(0,(A15-가정!$C$29+1)/가정!$C$30))</f>
        <v>0</v>
      </c>
      <c r="F15" s="22">
        <f>IF(가정!$D$7&lt;30000,1,0)*IF(A15&gt;=가정!$C$29,1,0)</f>
        <v>0</v>
      </c>
      <c r="G15" s="23">
        <f>가정!$D$8*MIN(1,MAX(0,(A15-가정!$C$31+1)/가정!$C$32))</f>
        <v>0</v>
      </c>
      <c r="H15" s="24">
        <f>가정!$C$37+D15*가정!$C$14+E15*가정!$C$18</f>
        <v>-4.7083333333333335E-3</v>
      </c>
      <c r="I15" s="23">
        <f t="shared" si="5"/>
        <v>18.949294856080844</v>
      </c>
      <c r="J15" s="23">
        <f>I15*(1+G15*가정!$C$19)</f>
        <v>18.949294856080844</v>
      </c>
      <c r="K15" s="23">
        <f>I15*가정!$C$36*(1+G15*가정!$C$19*가정!$C$24)</f>
        <v>9.4746474280404218</v>
      </c>
      <c r="L15" s="24">
        <f>가정!$C$38+D15*가정!$C$12+E15*가정!$C$17</f>
        <v>0.11377083333333333</v>
      </c>
      <c r="M15" s="24">
        <f>가정!$C$38+가정!$C$23*(L15-가정!$C$38)</f>
        <v>0.11377083333333333</v>
      </c>
      <c r="N15" s="25">
        <f t="shared" si="6"/>
        <v>107.31329028319306</v>
      </c>
      <c r="O15" s="26">
        <f>K15+가정!$C$33*M15+N15*L15</f>
        <v>67.874728224634538</v>
      </c>
      <c r="P15" s="27">
        <f>가정!$C$39*(1+D15*가정!$C$13)</f>
        <v>1.3265958333333332</v>
      </c>
      <c r="Q15" s="27">
        <f>1+F15*가정!$C$15</f>
        <v>1</v>
      </c>
      <c r="R15" s="27">
        <f t="shared" si="0"/>
        <v>1.3265958333333332</v>
      </c>
      <c r="S15" s="26">
        <f t="shared" si="1"/>
        <v>90.042331651432562</v>
      </c>
      <c r="T15" s="25">
        <f>IF(F15=1,가정!$C$16,가정!$C$40)</f>
        <v>31846</v>
      </c>
      <c r="U15" s="26">
        <f t="shared" si="2"/>
        <v>286.74880937715216</v>
      </c>
      <c r="V15" s="26">
        <f>U15/(1-가정!$C$41)*가정!$C$42</f>
        <v>301.84085197594965</v>
      </c>
      <c r="W15" s="25">
        <f>가정!$C$33+N15+K15</f>
        <v>522.78793771123344</v>
      </c>
      <c r="X15" s="25">
        <f t="shared" si="7"/>
        <v>732.78793771123333</v>
      </c>
      <c r="Y15" s="25">
        <f t="shared" si="3"/>
        <v>1255.5758754224667</v>
      </c>
      <c r="Z15" s="26">
        <f t="shared" si="4"/>
        <v>90.042331651432562</v>
      </c>
    </row>
    <row r="16" spans="1:26" x14ac:dyDescent="0.3">
      <c r="A16" s="16">
        <v>13</v>
      </c>
      <c r="B16" s="16">
        <v>2028</v>
      </c>
      <c r="C16" s="16">
        <v>1</v>
      </c>
      <c r="D16" s="17">
        <f>가정!$D$6*MIN(1,MAX(0,(A16-가정!$C$28+1)/가정!$C$30))</f>
        <v>0.16666666666666666</v>
      </c>
      <c r="E16" s="17">
        <f>IF(가정!$D$7&lt;30000,1,0)*MIN(1,MAX(0,(A16-가정!$C$29+1)/가정!$C$30))</f>
        <v>0</v>
      </c>
      <c r="F16" s="16">
        <f>IF(가정!$D$7&lt;30000,1,0)*IF(A16&gt;=가정!$C$29,1,0)</f>
        <v>0</v>
      </c>
      <c r="G16" s="17">
        <f>가정!$D$8*MIN(1,MAX(0,(A16-가정!$C$31+1)/가정!$C$32))</f>
        <v>0</v>
      </c>
      <c r="H16" s="18">
        <f>가정!$C$37+D16*가정!$C$14+E16*가정!$C$18</f>
        <v>-4.6666666666666671E-3</v>
      </c>
      <c r="I16" s="17">
        <f t="shared" si="5"/>
        <v>18.860864813419131</v>
      </c>
      <c r="J16" s="17">
        <f>I16*(1+G16*가정!$C$19)</f>
        <v>18.860864813419131</v>
      </c>
      <c r="K16" s="17">
        <f>I16*가정!$C$36*(1+G16*가정!$C$19*가정!$C$24)</f>
        <v>9.4304324067095653</v>
      </c>
      <c r="L16" s="18">
        <f>가정!$C$38+D16*가정!$C$12+E16*가정!$C$17</f>
        <v>0.11416666666666667</v>
      </c>
      <c r="M16" s="18">
        <f>가정!$C$38+가정!$C$23*(L16-가정!$C$38)</f>
        <v>0.11416666666666667</v>
      </c>
      <c r="N16" s="19">
        <f t="shared" si="6"/>
        <v>116.78793771123348</v>
      </c>
      <c r="O16" s="20">
        <f>K16+가정!$C$33*M16+N16*L16</f>
        <v>69.115388628742053</v>
      </c>
      <c r="P16" s="21">
        <f>가정!$C$39*(1+D16*가정!$C$13)</f>
        <v>1.3319666666666667</v>
      </c>
      <c r="Q16" s="21">
        <f>1+F16*가정!$C$15</f>
        <v>1</v>
      </c>
      <c r="R16" s="21">
        <f t="shared" si="0"/>
        <v>1.3319666666666667</v>
      </c>
      <c r="S16" s="20">
        <f t="shared" si="1"/>
        <v>92.059393807196798</v>
      </c>
      <c r="T16" s="19">
        <f>IF(F16=1,가정!$C$16,가정!$C$40)</f>
        <v>31846</v>
      </c>
      <c r="U16" s="20">
        <f t="shared" si="2"/>
        <v>293.17234551839891</v>
      </c>
      <c r="V16" s="20">
        <f>U16/(1-가정!$C$41)*가정!$C$42</f>
        <v>308.60246896673573</v>
      </c>
      <c r="W16" s="19">
        <f>가정!$C$33+N16+K16</f>
        <v>532.21837011794298</v>
      </c>
      <c r="X16" s="19">
        <f t="shared" si="7"/>
        <v>742.21837011794287</v>
      </c>
      <c r="Y16" s="19">
        <f t="shared" si="3"/>
        <v>1274.4367402358857</v>
      </c>
      <c r="Z16" s="20">
        <f t="shared" si="4"/>
        <v>92.059393807196798</v>
      </c>
    </row>
    <row r="17" spans="1:26" x14ac:dyDescent="0.3">
      <c r="A17" s="16">
        <v>14</v>
      </c>
      <c r="B17" s="16">
        <v>2028</v>
      </c>
      <c r="C17" s="16">
        <v>2</v>
      </c>
      <c r="D17" s="17">
        <f>가정!$D$6*MIN(1,MAX(0,(A17-가정!$C$28+1)/가정!$C$30))</f>
        <v>0.1875</v>
      </c>
      <c r="E17" s="17">
        <f>IF(가정!$D$7&lt;30000,1,0)*MIN(1,MAX(0,(A17-가정!$C$29+1)/가정!$C$30))</f>
        <v>0</v>
      </c>
      <c r="F17" s="16">
        <f>IF(가정!$D$7&lt;30000,1,0)*IF(A17&gt;=가정!$C$29,1,0)</f>
        <v>0</v>
      </c>
      <c r="G17" s="17">
        <f>가정!$D$8*MIN(1,MAX(0,(A17-가정!$C$31+1)/가정!$C$32))</f>
        <v>0</v>
      </c>
      <c r="H17" s="18">
        <f>가정!$C$37+D17*가정!$C$14+E17*가정!$C$18</f>
        <v>-4.6249999999999998E-3</v>
      </c>
      <c r="I17" s="17">
        <f t="shared" si="5"/>
        <v>18.773633313657069</v>
      </c>
      <c r="J17" s="17">
        <f>I17*(1+G17*가정!$C$19)</f>
        <v>18.773633313657069</v>
      </c>
      <c r="K17" s="17">
        <f>I17*가정!$C$36*(1+G17*가정!$C$19*가정!$C$24)</f>
        <v>9.3868166568285343</v>
      </c>
      <c r="L17" s="18">
        <f>가정!$C$38+D17*가정!$C$12+E17*가정!$C$17</f>
        <v>0.1145625</v>
      </c>
      <c r="M17" s="18">
        <f>가정!$C$38+가정!$C$23*(L17-가정!$C$38)</f>
        <v>0.1145625</v>
      </c>
      <c r="N17" s="19">
        <f t="shared" si="6"/>
        <v>126.21837011794305</v>
      </c>
      <c r="O17" s="20">
        <f>K17+가정!$C$33*M17+N17*L17</f>
        <v>70.359083683465386</v>
      </c>
      <c r="P17" s="21">
        <f>가정!$C$39*(1+D17*가정!$C$13)</f>
        <v>1.3373375000000001</v>
      </c>
      <c r="Q17" s="21">
        <f>1+F17*가정!$C$15</f>
        <v>1</v>
      </c>
      <c r="R17" s="21">
        <f t="shared" si="0"/>
        <v>1.3373375000000001</v>
      </c>
      <c r="S17" s="20">
        <f t="shared" si="1"/>
        <v>94.093841075536389</v>
      </c>
      <c r="T17" s="19">
        <f>IF(F17=1,가정!$C$16,가정!$C$40)</f>
        <v>31846</v>
      </c>
      <c r="U17" s="20">
        <f t="shared" si="2"/>
        <v>299.65124628915316</v>
      </c>
      <c r="V17" s="20">
        <f>U17/(1-가정!$C$41)*가정!$C$42</f>
        <v>315.42236451489811</v>
      </c>
      <c r="W17" s="19">
        <f>가정!$C$33+N17+K17</f>
        <v>541.6051867747716</v>
      </c>
      <c r="X17" s="19">
        <f t="shared" si="7"/>
        <v>751.60518677477148</v>
      </c>
      <c r="Y17" s="19">
        <f t="shared" si="3"/>
        <v>1293.210373549543</v>
      </c>
      <c r="Z17" s="20">
        <f t="shared" si="4"/>
        <v>94.093841075536389</v>
      </c>
    </row>
    <row r="18" spans="1:26" x14ac:dyDescent="0.3">
      <c r="A18" s="16">
        <v>15</v>
      </c>
      <c r="B18" s="16">
        <v>2028</v>
      </c>
      <c r="C18" s="16">
        <v>3</v>
      </c>
      <c r="D18" s="17">
        <f>가정!$D$6*MIN(1,MAX(0,(A18-가정!$C$28+1)/가정!$C$30))</f>
        <v>0.20833333333333334</v>
      </c>
      <c r="E18" s="17">
        <f>IF(가정!$D$7&lt;30000,1,0)*MIN(1,MAX(0,(A18-가정!$C$29+1)/가정!$C$30))</f>
        <v>0</v>
      </c>
      <c r="F18" s="16">
        <f>IF(가정!$D$7&lt;30000,1,0)*IF(A18&gt;=가정!$C$29,1,0)</f>
        <v>0</v>
      </c>
      <c r="G18" s="17">
        <f>가정!$D$8*MIN(1,MAX(0,(A18-가정!$C$31+1)/가정!$C$32))</f>
        <v>0</v>
      </c>
      <c r="H18" s="18">
        <f>가정!$C$37+D18*가정!$C$14+E18*가정!$C$18</f>
        <v>-4.5833333333333334E-3</v>
      </c>
      <c r="I18" s="17">
        <f t="shared" si="5"/>
        <v>18.687587494302807</v>
      </c>
      <c r="J18" s="17">
        <f>I18*(1+G18*가정!$C$19)</f>
        <v>18.687587494302807</v>
      </c>
      <c r="K18" s="17">
        <f>I18*가정!$C$36*(1+G18*가정!$C$19*가정!$C$24)</f>
        <v>9.3437937471514037</v>
      </c>
      <c r="L18" s="18">
        <f>가정!$C$38+D18*가정!$C$12+E18*가정!$C$17</f>
        <v>0.11495833333333333</v>
      </c>
      <c r="M18" s="18">
        <f>가정!$C$38+가정!$C$23*(L18-가정!$C$38)</f>
        <v>0.11495833333333333</v>
      </c>
      <c r="N18" s="19">
        <f t="shared" si="6"/>
        <v>135.6051867747716</v>
      </c>
      <c r="O18" s="20">
        <f>K18+가정!$C$33*M18+N18*L18</f>
        <v>71.605823343467847</v>
      </c>
      <c r="P18" s="21">
        <f>가정!$C$39*(1+D18*가정!$C$13)</f>
        <v>1.3427083333333334</v>
      </c>
      <c r="Q18" s="21">
        <f>1+F18*가정!$C$15</f>
        <v>1</v>
      </c>
      <c r="R18" s="21">
        <f t="shared" si="0"/>
        <v>1.3427083333333334</v>
      </c>
      <c r="S18" s="20">
        <f t="shared" si="1"/>
        <v>96.145735718468814</v>
      </c>
      <c r="T18" s="19">
        <f>IF(F18=1,가정!$C$16,가정!$C$40)</f>
        <v>31846</v>
      </c>
      <c r="U18" s="20">
        <f t="shared" si="2"/>
        <v>306.18570996903577</v>
      </c>
      <c r="V18" s="20">
        <f>U18/(1-가정!$C$41)*가정!$C$42</f>
        <v>322.30074733582717</v>
      </c>
      <c r="W18" s="19">
        <f>가정!$C$33+N18+K18</f>
        <v>550.94898052192298</v>
      </c>
      <c r="X18" s="19">
        <f t="shared" si="7"/>
        <v>760.94898052192286</v>
      </c>
      <c r="Y18" s="19">
        <f t="shared" si="3"/>
        <v>1311.897961043846</v>
      </c>
      <c r="Z18" s="20">
        <f t="shared" si="4"/>
        <v>96.145735718468814</v>
      </c>
    </row>
    <row r="19" spans="1:26" x14ac:dyDescent="0.3">
      <c r="A19" s="16">
        <v>16</v>
      </c>
      <c r="B19" s="16">
        <v>2028</v>
      </c>
      <c r="C19" s="16">
        <v>4</v>
      </c>
      <c r="D19" s="17">
        <f>가정!$D$6*MIN(1,MAX(0,(A19-가정!$C$28+1)/가정!$C$30))</f>
        <v>0.22916666666666666</v>
      </c>
      <c r="E19" s="17">
        <f>IF(가정!$D$7&lt;30000,1,0)*MIN(1,MAX(0,(A19-가정!$C$29+1)/가정!$C$30))</f>
        <v>0</v>
      </c>
      <c r="F19" s="16">
        <f>IF(가정!$D$7&lt;30000,1,0)*IF(A19&gt;=가정!$C$29,1,0)</f>
        <v>0</v>
      </c>
      <c r="G19" s="17">
        <f>가정!$D$8*MIN(1,MAX(0,(A19-가정!$C$31+1)/가정!$C$32))</f>
        <v>0</v>
      </c>
      <c r="H19" s="18">
        <f>가정!$C$37+D19*가정!$C$14+E19*가정!$C$18</f>
        <v>-4.5416666666666669E-3</v>
      </c>
      <c r="I19" s="17">
        <f t="shared" si="5"/>
        <v>18.602714701099515</v>
      </c>
      <c r="J19" s="17">
        <f>I19*(1+G19*가정!$C$19)</f>
        <v>18.602714701099515</v>
      </c>
      <c r="K19" s="17">
        <f>I19*가정!$C$36*(1+G19*가정!$C$19*가정!$C$24)</f>
        <v>9.3013573505497575</v>
      </c>
      <c r="L19" s="18">
        <f>가정!$C$38+D19*가정!$C$12+E19*가정!$C$17</f>
        <v>0.11535416666666667</v>
      </c>
      <c r="M19" s="18">
        <f>가정!$C$38+가정!$C$23*(L19-가정!$C$38)</f>
        <v>0.11535416666666667</v>
      </c>
      <c r="N19" s="19">
        <f t="shared" si="6"/>
        <v>144.948980521923</v>
      </c>
      <c r="O19" s="20">
        <f>K19+가정!$C$33*M19+N19*L19</f>
        <v>72.855617874505754</v>
      </c>
      <c r="P19" s="21">
        <f>가정!$C$39*(1+D19*가정!$C$13)</f>
        <v>1.3480791666666667</v>
      </c>
      <c r="Q19" s="21">
        <f>1+F19*가정!$C$15</f>
        <v>1</v>
      </c>
      <c r="R19" s="21">
        <f t="shared" si="0"/>
        <v>1.3480791666666667</v>
      </c>
      <c r="S19" s="20">
        <f t="shared" si="1"/>
        <v>98.215140631248829</v>
      </c>
      <c r="T19" s="19">
        <f>IF(F19=1,가정!$C$16,가정!$C$40)</f>
        <v>31846</v>
      </c>
      <c r="U19" s="20">
        <f t="shared" si="2"/>
        <v>312.77593685427502</v>
      </c>
      <c r="V19" s="20">
        <f>U19/(1-가정!$C$41)*가정!$C$42</f>
        <v>329.2378282676579</v>
      </c>
      <c r="W19" s="19">
        <f>가정!$C$33+N19+K19</f>
        <v>560.25033787247276</v>
      </c>
      <c r="X19" s="19">
        <f t="shared" si="7"/>
        <v>770.25033787247264</v>
      </c>
      <c r="Y19" s="19">
        <f t="shared" si="3"/>
        <v>1330.5006757449455</v>
      </c>
      <c r="Z19" s="20">
        <f t="shared" si="4"/>
        <v>98.215140631248829</v>
      </c>
    </row>
    <row r="20" spans="1:26" x14ac:dyDescent="0.3">
      <c r="A20" s="16">
        <v>17</v>
      </c>
      <c r="B20" s="16">
        <v>2028</v>
      </c>
      <c r="C20" s="16">
        <v>5</v>
      </c>
      <c r="D20" s="17">
        <f>가정!$D$6*MIN(1,MAX(0,(A20-가정!$C$28+1)/가정!$C$30))</f>
        <v>0.25</v>
      </c>
      <c r="E20" s="17">
        <f>IF(가정!$D$7&lt;30000,1,0)*MIN(1,MAX(0,(A20-가정!$C$29+1)/가정!$C$30))</f>
        <v>0</v>
      </c>
      <c r="F20" s="16">
        <f>IF(가정!$D$7&lt;30000,1,0)*IF(A20&gt;=가정!$C$29,1,0)</f>
        <v>0</v>
      </c>
      <c r="G20" s="17">
        <f>가정!$D$8*MIN(1,MAX(0,(A20-가정!$C$31+1)/가정!$C$32))</f>
        <v>0</v>
      </c>
      <c r="H20" s="18">
        <f>가정!$C$37+D20*가정!$C$14+E20*가정!$C$18</f>
        <v>-4.5000000000000005E-3</v>
      </c>
      <c r="I20" s="17">
        <f t="shared" si="5"/>
        <v>18.519002484944568</v>
      </c>
      <c r="J20" s="17">
        <f>I20*(1+G20*가정!$C$19)</f>
        <v>18.519002484944568</v>
      </c>
      <c r="K20" s="17">
        <f>I20*가정!$C$36*(1+G20*가정!$C$19*가정!$C$24)</f>
        <v>9.2595012424722842</v>
      </c>
      <c r="L20" s="18">
        <f>가정!$C$38+D20*가정!$C$12+E20*가정!$C$17</f>
        <v>0.11575000000000001</v>
      </c>
      <c r="M20" s="18">
        <f>가정!$C$38+가정!$C$23*(L20-가정!$C$38)</f>
        <v>0.11575000000000001</v>
      </c>
      <c r="N20" s="19">
        <f t="shared" si="6"/>
        <v>154.25033787247276</v>
      </c>
      <c r="O20" s="20">
        <f>K20+가정!$C$33*M20+N20*L20</f>
        <v>74.108477851211006</v>
      </c>
      <c r="P20" s="21">
        <f>가정!$C$39*(1+D20*가정!$C$13)</f>
        <v>1.35345</v>
      </c>
      <c r="Q20" s="21">
        <f>1+F20*가정!$C$15</f>
        <v>1</v>
      </c>
      <c r="R20" s="21">
        <f t="shared" si="0"/>
        <v>1.35345</v>
      </c>
      <c r="S20" s="20">
        <f t="shared" si="1"/>
        <v>100.30211934772154</v>
      </c>
      <c r="T20" s="19">
        <f>IF(F20=1,가정!$C$16,가정!$C$40)</f>
        <v>31846</v>
      </c>
      <c r="U20" s="20">
        <f t="shared" si="2"/>
        <v>319.42212927475401</v>
      </c>
      <c r="V20" s="20">
        <f>U20/(1-가정!$C$41)*가정!$C$42</f>
        <v>336.23382028921475</v>
      </c>
      <c r="W20" s="19">
        <f>가정!$C$33+N20+K20</f>
        <v>569.50983911494507</v>
      </c>
      <c r="X20" s="19">
        <f t="shared" si="7"/>
        <v>779.50983911494495</v>
      </c>
      <c r="Y20" s="19">
        <f t="shared" si="3"/>
        <v>1349.0196782298899</v>
      </c>
      <c r="Z20" s="20">
        <f t="shared" si="4"/>
        <v>100.30211934772154</v>
      </c>
    </row>
    <row r="21" spans="1:26" x14ac:dyDescent="0.3">
      <c r="A21" s="16">
        <v>18</v>
      </c>
      <c r="B21" s="16">
        <v>2028</v>
      </c>
      <c r="C21" s="16">
        <v>6</v>
      </c>
      <c r="D21" s="17">
        <f>가정!$D$6*MIN(1,MAX(0,(A21-가정!$C$28+1)/가정!$C$30))</f>
        <v>0.27083333333333331</v>
      </c>
      <c r="E21" s="17">
        <f>IF(가정!$D$7&lt;30000,1,0)*MIN(1,MAX(0,(A21-가정!$C$29+1)/가정!$C$30))</f>
        <v>0</v>
      </c>
      <c r="F21" s="16">
        <f>IF(가정!$D$7&lt;30000,1,0)*IF(A21&gt;=가정!$C$29,1,0)</f>
        <v>0</v>
      </c>
      <c r="G21" s="17">
        <f>가정!$D$8*MIN(1,MAX(0,(A21-가정!$C$31+1)/가정!$C$32))</f>
        <v>0</v>
      </c>
      <c r="H21" s="18">
        <f>가정!$C$37+D21*가정!$C$14+E21*가정!$C$18</f>
        <v>-4.4583333333333332E-3</v>
      </c>
      <c r="I21" s="17">
        <f t="shared" si="5"/>
        <v>18.436438598865855</v>
      </c>
      <c r="J21" s="17">
        <f>I21*(1+G21*가정!$C$19)</f>
        <v>18.436438598865855</v>
      </c>
      <c r="K21" s="17">
        <f>I21*가정!$C$36*(1+G21*가정!$C$19*가정!$C$24)</f>
        <v>9.2182192994329277</v>
      </c>
      <c r="L21" s="18">
        <f>가정!$C$38+D21*가정!$C$12+E21*가정!$C$17</f>
        <v>0.11614583333333334</v>
      </c>
      <c r="M21" s="18">
        <f>가정!$C$38+가정!$C$23*(L21-가정!$C$38)</f>
        <v>0.11614583333333334</v>
      </c>
      <c r="N21" s="19">
        <f t="shared" si="6"/>
        <v>163.50983911494504</v>
      </c>
      <c r="O21" s="20">
        <f>K21+가정!$C$33*M21+N21*L21</f>
        <v>75.364414154970817</v>
      </c>
      <c r="P21" s="21">
        <f>가정!$C$39*(1+D21*가정!$C$13)</f>
        <v>1.3588208333333334</v>
      </c>
      <c r="Q21" s="21">
        <f>1+F21*가정!$C$15</f>
        <v>1</v>
      </c>
      <c r="R21" s="21">
        <f t="shared" si="0"/>
        <v>1.3588208333333334</v>
      </c>
      <c r="S21" s="20">
        <f t="shared" si="1"/>
        <v>102.40673604573591</v>
      </c>
      <c r="T21" s="19">
        <f>IF(F21=1,가정!$C$16,가정!$C$40)</f>
        <v>31846</v>
      </c>
      <c r="U21" s="20">
        <f t="shared" si="2"/>
        <v>326.12449161125056</v>
      </c>
      <c r="V21" s="20">
        <f>U21/(1-가정!$C$41)*가정!$C$42</f>
        <v>343.2889385381585</v>
      </c>
      <c r="W21" s="19">
        <f>가정!$C$33+N21+K21</f>
        <v>578.72805841437798</v>
      </c>
      <c r="X21" s="19">
        <f t="shared" si="7"/>
        <v>788.72805841437787</v>
      </c>
      <c r="Y21" s="19">
        <f t="shared" si="3"/>
        <v>1367.456116828756</v>
      </c>
      <c r="Z21" s="20">
        <f t="shared" si="4"/>
        <v>102.40673604573591</v>
      </c>
    </row>
    <row r="22" spans="1:26" x14ac:dyDescent="0.3">
      <c r="A22" s="16">
        <v>19</v>
      </c>
      <c r="B22" s="16">
        <v>2028</v>
      </c>
      <c r="C22" s="16">
        <v>7</v>
      </c>
      <c r="D22" s="17">
        <f>가정!$D$6*MIN(1,MAX(0,(A22-가정!$C$28+1)/가정!$C$30))</f>
        <v>0.29166666666666669</v>
      </c>
      <c r="E22" s="17">
        <f>IF(가정!$D$7&lt;30000,1,0)*MIN(1,MAX(0,(A22-가정!$C$29+1)/가정!$C$30))</f>
        <v>0</v>
      </c>
      <c r="F22" s="16">
        <f>IF(가정!$D$7&lt;30000,1,0)*IF(A22&gt;=가정!$C$29,1,0)</f>
        <v>0</v>
      </c>
      <c r="G22" s="17">
        <f>가정!$D$8*MIN(1,MAX(0,(A22-가정!$C$31+1)/가정!$C$32))</f>
        <v>0</v>
      </c>
      <c r="H22" s="18">
        <f>가정!$C$37+D22*가정!$C$14+E22*가정!$C$18</f>
        <v>-4.4166666666666668E-3</v>
      </c>
      <c r="I22" s="17">
        <f t="shared" si="5"/>
        <v>18.355010995054197</v>
      </c>
      <c r="J22" s="17">
        <f>I22*(1+G22*가정!$C$19)</f>
        <v>18.355010995054197</v>
      </c>
      <c r="K22" s="17">
        <f>I22*가정!$C$36*(1+G22*가정!$C$19*가정!$C$24)</f>
        <v>9.1775054975270987</v>
      </c>
      <c r="L22" s="18">
        <f>가정!$C$38+D22*가정!$C$12+E22*가정!$C$17</f>
        <v>0.11654166666666667</v>
      </c>
      <c r="M22" s="18">
        <f>가정!$C$38+가정!$C$23*(L22-가정!$C$38)</f>
        <v>0.11654166666666667</v>
      </c>
      <c r="N22" s="19">
        <f t="shared" si="6"/>
        <v>172.72805841437795</v>
      </c>
      <c r="O22" s="20">
        <f>K22+가정!$C$33*M22+N22*L22</f>
        <v>76.623437971902732</v>
      </c>
      <c r="P22" s="21">
        <f>가정!$C$39*(1+D22*가정!$C$13)</f>
        <v>1.3641916666666667</v>
      </c>
      <c r="Q22" s="21">
        <f>1+F22*가정!$C$15</f>
        <v>1</v>
      </c>
      <c r="R22" s="21">
        <f t="shared" si="0"/>
        <v>1.3641916666666667</v>
      </c>
      <c r="S22" s="20">
        <f t="shared" si="1"/>
        <v>104.52905555261994</v>
      </c>
      <c r="T22" s="19">
        <f>IF(F22=1,가정!$C$16,가정!$C$40)</f>
        <v>31846</v>
      </c>
      <c r="U22" s="20">
        <f t="shared" si="2"/>
        <v>332.88323031287348</v>
      </c>
      <c r="V22" s="20">
        <f>U22/(1-가정!$C$41)*가정!$C$42</f>
        <v>350.40340032934051</v>
      </c>
      <c r="W22" s="19">
        <f>가정!$C$33+N22+K22</f>
        <v>587.90556391190512</v>
      </c>
      <c r="X22" s="19">
        <f t="shared" si="7"/>
        <v>797.90556391190489</v>
      </c>
      <c r="Y22" s="19">
        <f t="shared" si="3"/>
        <v>1385.81112782381</v>
      </c>
      <c r="Z22" s="20">
        <f t="shared" si="4"/>
        <v>104.52905555261994</v>
      </c>
    </row>
    <row r="23" spans="1:26" x14ac:dyDescent="0.3">
      <c r="A23" s="16">
        <v>20</v>
      </c>
      <c r="B23" s="16">
        <v>2028</v>
      </c>
      <c r="C23" s="16">
        <v>8</v>
      </c>
      <c r="D23" s="17">
        <f>가정!$D$6*MIN(1,MAX(0,(A23-가정!$C$28+1)/가정!$C$30))</f>
        <v>0.3125</v>
      </c>
      <c r="E23" s="17">
        <f>IF(가정!$D$7&lt;30000,1,0)*MIN(1,MAX(0,(A23-가정!$C$29+1)/가정!$C$30))</f>
        <v>0</v>
      </c>
      <c r="F23" s="16">
        <f>IF(가정!$D$7&lt;30000,1,0)*IF(A23&gt;=가정!$C$29,1,0)</f>
        <v>0</v>
      </c>
      <c r="G23" s="17">
        <f>가정!$D$8*MIN(1,MAX(0,(A23-가정!$C$31+1)/가정!$C$32))</f>
        <v>0</v>
      </c>
      <c r="H23" s="18">
        <f>가정!$C$37+D23*가정!$C$14+E23*가정!$C$18</f>
        <v>-4.3750000000000004E-3</v>
      </c>
      <c r="I23" s="17">
        <f t="shared" si="5"/>
        <v>18.274707821950834</v>
      </c>
      <c r="J23" s="17">
        <f>I23*(1+G23*가정!$C$19)</f>
        <v>18.274707821950834</v>
      </c>
      <c r="K23" s="17">
        <f>I23*가정!$C$36*(1+G23*가정!$C$19*가정!$C$24)</f>
        <v>9.1373539109754169</v>
      </c>
      <c r="L23" s="18">
        <f>가정!$C$38+D23*가정!$C$12+E23*가정!$C$17</f>
        <v>0.1169375</v>
      </c>
      <c r="M23" s="18">
        <f>가정!$C$38+가정!$C$23*(L23-가정!$C$38)</f>
        <v>0.1169375</v>
      </c>
      <c r="N23" s="19">
        <f t="shared" si="6"/>
        <v>181.90556391190506</v>
      </c>
      <c r="O23" s="20">
        <f>K23+가정!$C$33*M23+N23*L23</f>
        <v>77.885560790923819</v>
      </c>
      <c r="P23" s="21">
        <f>가정!$C$39*(1+D23*가정!$C$13)</f>
        <v>1.3695625</v>
      </c>
      <c r="Q23" s="21">
        <f>1+F23*가정!$C$15</f>
        <v>1</v>
      </c>
      <c r="R23" s="21">
        <f t="shared" si="0"/>
        <v>1.3695625</v>
      </c>
      <c r="S23" s="20">
        <f t="shared" si="1"/>
        <v>106.66914335071961</v>
      </c>
      <c r="T23" s="19">
        <f>IF(F23=1,가정!$C$16,가정!$C$40)</f>
        <v>31846</v>
      </c>
      <c r="U23" s="20">
        <f t="shared" si="2"/>
        <v>339.69855391470168</v>
      </c>
      <c r="V23" s="20">
        <f>U23/(1-가정!$C$41)*가정!$C$42</f>
        <v>357.57742517337022</v>
      </c>
      <c r="W23" s="19">
        <f>가정!$C$33+N23+K23</f>
        <v>597.04291782288055</v>
      </c>
      <c r="X23" s="19">
        <f t="shared" si="7"/>
        <v>807.04291782288033</v>
      </c>
      <c r="Y23" s="19">
        <f t="shared" si="3"/>
        <v>1404.0858356457609</v>
      </c>
      <c r="Z23" s="20">
        <f t="shared" si="4"/>
        <v>106.66914335071961</v>
      </c>
    </row>
    <row r="24" spans="1:26" x14ac:dyDescent="0.3">
      <c r="A24" s="16">
        <v>21</v>
      </c>
      <c r="B24" s="16">
        <v>2028</v>
      </c>
      <c r="C24" s="16">
        <v>9</v>
      </c>
      <c r="D24" s="17">
        <f>가정!$D$6*MIN(1,MAX(0,(A24-가정!$C$28+1)/가정!$C$30))</f>
        <v>0.33333333333333331</v>
      </c>
      <c r="E24" s="17">
        <f>IF(가정!$D$7&lt;30000,1,0)*MIN(1,MAX(0,(A24-가정!$C$29+1)/가정!$C$30))</f>
        <v>0</v>
      </c>
      <c r="F24" s="16">
        <f>IF(가정!$D$7&lt;30000,1,0)*IF(A24&gt;=가정!$C$29,1,0)</f>
        <v>0</v>
      </c>
      <c r="G24" s="17">
        <f>가정!$D$8*MIN(1,MAX(0,(A24-가정!$C$31+1)/가정!$C$32))</f>
        <v>0</v>
      </c>
      <c r="H24" s="18">
        <f>가정!$C$37+D24*가정!$C$14+E24*가정!$C$18</f>
        <v>-4.3333333333333331E-3</v>
      </c>
      <c r="I24" s="17">
        <f t="shared" si="5"/>
        <v>18.195517421389049</v>
      </c>
      <c r="J24" s="17">
        <f>I24*(1+G24*가정!$C$19)</f>
        <v>18.195517421389049</v>
      </c>
      <c r="K24" s="17">
        <f>I24*가정!$C$36*(1+G24*가정!$C$19*가정!$C$24)</f>
        <v>9.0977587106945244</v>
      </c>
      <c r="L24" s="18">
        <f>가정!$C$38+D24*가정!$C$12+E24*가정!$C$17</f>
        <v>0.11733333333333333</v>
      </c>
      <c r="M24" s="18">
        <f>가정!$C$38+가정!$C$23*(L24-가정!$C$38)</f>
        <v>0.11733333333333333</v>
      </c>
      <c r="N24" s="19">
        <f t="shared" si="6"/>
        <v>191.04291782288047</v>
      </c>
      <c r="O24" s="20">
        <f>K24+가정!$C$33*M24+N24*L24</f>
        <v>79.150794401912492</v>
      </c>
      <c r="P24" s="21">
        <f>가정!$C$39*(1+D24*가정!$C$13)</f>
        <v>1.3749333333333333</v>
      </c>
      <c r="Q24" s="21">
        <f>1+F24*가정!$C$15</f>
        <v>1</v>
      </c>
      <c r="R24" s="21">
        <f t="shared" si="0"/>
        <v>1.3749333333333333</v>
      </c>
      <c r="S24" s="20">
        <f t="shared" si="1"/>
        <v>108.82706558300288</v>
      </c>
      <c r="T24" s="19">
        <f>IF(F24=1,가정!$C$16,가정!$C$40)</f>
        <v>31846</v>
      </c>
      <c r="U24" s="20">
        <f t="shared" si="2"/>
        <v>346.57067305563095</v>
      </c>
      <c r="V24" s="20">
        <f>U24/(1-가정!$C$41)*가정!$C$42</f>
        <v>364.81123479540099</v>
      </c>
      <c r="W24" s="19">
        <f>가정!$C$33+N24+K24</f>
        <v>606.14067653357495</v>
      </c>
      <c r="X24" s="19">
        <f t="shared" si="7"/>
        <v>816.14067653357483</v>
      </c>
      <c r="Y24" s="19">
        <f t="shared" si="3"/>
        <v>1422.2813530671497</v>
      </c>
      <c r="Z24" s="20">
        <f t="shared" si="4"/>
        <v>108.82706558300288</v>
      </c>
    </row>
    <row r="25" spans="1:26" x14ac:dyDescent="0.3">
      <c r="A25" s="16">
        <v>22</v>
      </c>
      <c r="B25" s="16">
        <v>2028</v>
      </c>
      <c r="C25" s="16">
        <v>10</v>
      </c>
      <c r="D25" s="17">
        <f>가정!$D$6*MIN(1,MAX(0,(A25-가정!$C$28+1)/가정!$C$30))</f>
        <v>0.35416666666666669</v>
      </c>
      <c r="E25" s="17">
        <f>IF(가정!$D$7&lt;30000,1,0)*MIN(1,MAX(0,(A25-가정!$C$29+1)/가정!$C$30))</f>
        <v>0</v>
      </c>
      <c r="F25" s="16">
        <f>IF(가정!$D$7&lt;30000,1,0)*IF(A25&gt;=가정!$C$29,1,0)</f>
        <v>0</v>
      </c>
      <c r="G25" s="17">
        <f>가정!$D$8*MIN(1,MAX(0,(A25-가정!$C$31+1)/가정!$C$32))</f>
        <v>0</v>
      </c>
      <c r="H25" s="18">
        <f>가정!$C$37+D25*가정!$C$14+E25*가정!$C$18</f>
        <v>-4.2916666666666667E-3</v>
      </c>
      <c r="I25" s="17">
        <f t="shared" si="5"/>
        <v>18.117428325788921</v>
      </c>
      <c r="J25" s="17">
        <f>I25*(1+G25*가정!$C$19)</f>
        <v>18.117428325788921</v>
      </c>
      <c r="K25" s="17">
        <f>I25*가정!$C$36*(1+G25*가정!$C$19*가정!$C$24)</f>
        <v>9.0587141628944607</v>
      </c>
      <c r="L25" s="18">
        <f>가정!$C$38+D25*가정!$C$12+E25*가정!$C$17</f>
        <v>0.11772916666666666</v>
      </c>
      <c r="M25" s="18">
        <f>가정!$C$38+가정!$C$23*(L25-가정!$C$38)</f>
        <v>0.11772916666666666</v>
      </c>
      <c r="N25" s="19">
        <f t="shared" si="6"/>
        <v>200.140676533575</v>
      </c>
      <c r="O25" s="20">
        <f>K25+가정!$C$33*M25+N25*L25</f>
        <v>80.419150893961799</v>
      </c>
      <c r="P25" s="21">
        <f>가정!$C$39*(1+D25*가정!$C$13)</f>
        <v>1.3803041666666664</v>
      </c>
      <c r="Q25" s="21">
        <f>1+F25*가정!$C$15</f>
        <v>1</v>
      </c>
      <c r="R25" s="21">
        <f t="shared" si="0"/>
        <v>1.3803041666666664</v>
      </c>
      <c r="S25" s="20">
        <f t="shared" si="1"/>
        <v>111.00288905873084</v>
      </c>
      <c r="T25" s="19">
        <f>IF(F25=1,가정!$C$16,가정!$C$40)</f>
        <v>31846</v>
      </c>
      <c r="U25" s="20">
        <f t="shared" si="2"/>
        <v>353.49980049643426</v>
      </c>
      <c r="V25" s="20">
        <f>U25/(1-가정!$C$41)*가정!$C$42</f>
        <v>372.10505315414133</v>
      </c>
      <c r="W25" s="19">
        <f>가정!$C$33+N25+K25</f>
        <v>615.19939069646955</v>
      </c>
      <c r="X25" s="19">
        <f t="shared" si="7"/>
        <v>825.19939069646932</v>
      </c>
      <c r="Y25" s="19">
        <f t="shared" si="3"/>
        <v>1440.3987813929389</v>
      </c>
      <c r="Z25" s="20">
        <f t="shared" si="4"/>
        <v>111.00288905873084</v>
      </c>
    </row>
    <row r="26" spans="1:26" x14ac:dyDescent="0.3">
      <c r="A26" s="16">
        <v>23</v>
      </c>
      <c r="B26" s="16">
        <v>2028</v>
      </c>
      <c r="C26" s="16">
        <v>11</v>
      </c>
      <c r="D26" s="17">
        <f>가정!$D$6*MIN(1,MAX(0,(A26-가정!$C$28+1)/가정!$C$30))</f>
        <v>0.375</v>
      </c>
      <c r="E26" s="17">
        <f>IF(가정!$D$7&lt;30000,1,0)*MIN(1,MAX(0,(A26-가정!$C$29+1)/가정!$C$30))</f>
        <v>0</v>
      </c>
      <c r="F26" s="16">
        <f>IF(가정!$D$7&lt;30000,1,0)*IF(A26&gt;=가정!$C$29,1,0)</f>
        <v>0</v>
      </c>
      <c r="G26" s="17">
        <f>가정!$D$8*MIN(1,MAX(0,(A26-가정!$C$31+1)/가정!$C$32))</f>
        <v>0</v>
      </c>
      <c r="H26" s="18">
        <f>가정!$C$37+D26*가정!$C$14+E26*가정!$C$18</f>
        <v>-4.2500000000000003E-3</v>
      </c>
      <c r="I26" s="17">
        <f t="shared" si="5"/>
        <v>18.04042925540432</v>
      </c>
      <c r="J26" s="17">
        <f>I26*(1+G26*가정!$C$19)</f>
        <v>18.04042925540432</v>
      </c>
      <c r="K26" s="17">
        <f>I26*가정!$C$36*(1+G26*가정!$C$19*가정!$C$24)</f>
        <v>9.0202146277021598</v>
      </c>
      <c r="L26" s="18">
        <f>가정!$C$38+D26*가정!$C$12+E26*가정!$C$17</f>
        <v>0.11812500000000001</v>
      </c>
      <c r="M26" s="18">
        <f>가정!$C$38+가정!$C$23*(L26-가정!$C$38)</f>
        <v>0.11812500000000001</v>
      </c>
      <c r="N26" s="19">
        <f t="shared" si="6"/>
        <v>209.19939069646946</v>
      </c>
      <c r="O26" s="20">
        <f>K26+가정!$C$33*M26+N26*L26</f>
        <v>81.69064265372262</v>
      </c>
      <c r="P26" s="21">
        <f>가정!$C$39*(1+D26*가정!$C$13)</f>
        <v>1.3856749999999998</v>
      </c>
      <c r="Q26" s="21">
        <f>1+F26*가정!$C$15</f>
        <v>1</v>
      </c>
      <c r="R26" s="21">
        <f t="shared" si="0"/>
        <v>1.3856749999999998</v>
      </c>
      <c r="S26" s="20">
        <f t="shared" si="1"/>
        <v>113.19668125919708</v>
      </c>
      <c r="T26" s="19">
        <f>IF(F26=1,가정!$C$16,가정!$C$40)</f>
        <v>31846</v>
      </c>
      <c r="U26" s="20">
        <f t="shared" si="2"/>
        <v>360.48615113803902</v>
      </c>
      <c r="V26" s="20">
        <f>U26/(1-가정!$C$41)*가정!$C$42</f>
        <v>379.45910646109371</v>
      </c>
      <c r="W26" s="19">
        <f>가정!$C$33+N26+K26</f>
        <v>624.21960532417165</v>
      </c>
      <c r="X26" s="19">
        <f t="shared" si="7"/>
        <v>834.21960532417143</v>
      </c>
      <c r="Y26" s="19">
        <f t="shared" si="3"/>
        <v>1458.4392106483431</v>
      </c>
      <c r="Z26" s="20">
        <f t="shared" si="4"/>
        <v>113.19668125919708</v>
      </c>
    </row>
    <row r="27" spans="1:26" x14ac:dyDescent="0.3">
      <c r="A27" s="22">
        <v>24</v>
      </c>
      <c r="B27" s="22">
        <v>2028</v>
      </c>
      <c r="C27" s="22">
        <v>12</v>
      </c>
      <c r="D27" s="23">
        <f>가정!$D$6*MIN(1,MAX(0,(A27-가정!$C$28+1)/가정!$C$30))</f>
        <v>0.39583333333333331</v>
      </c>
      <c r="E27" s="23">
        <f>IF(가정!$D$7&lt;30000,1,0)*MIN(1,MAX(0,(A27-가정!$C$29+1)/가정!$C$30))</f>
        <v>0</v>
      </c>
      <c r="F27" s="22">
        <f>IF(가정!$D$7&lt;30000,1,0)*IF(A27&gt;=가정!$C$29,1,0)</f>
        <v>0</v>
      </c>
      <c r="G27" s="23">
        <f>가정!$D$8*MIN(1,MAX(0,(A27-가정!$C$31+1)/가정!$C$32))</f>
        <v>0</v>
      </c>
      <c r="H27" s="24">
        <f>가정!$C$37+D27*가정!$C$14+E27*가정!$C$18</f>
        <v>-4.208333333333333E-3</v>
      </c>
      <c r="I27" s="23">
        <f t="shared" si="5"/>
        <v>17.964509115621158</v>
      </c>
      <c r="J27" s="23">
        <f>I27*(1+G27*가정!$C$19)</f>
        <v>17.964509115621158</v>
      </c>
      <c r="K27" s="23">
        <f>I27*가정!$C$36*(1+G27*가정!$C$19*가정!$C$24)</f>
        <v>8.9822545578105792</v>
      </c>
      <c r="L27" s="24">
        <f>가정!$C$38+D27*가정!$C$12+E27*가정!$C$17</f>
        <v>0.11852083333333334</v>
      </c>
      <c r="M27" s="24">
        <f>가정!$C$38+가정!$C$23*(L27-가정!$C$38)</f>
        <v>0.11852083333333334</v>
      </c>
      <c r="N27" s="25">
        <f t="shared" si="6"/>
        <v>218.21960532417162</v>
      </c>
      <c r="O27" s="26">
        <f>K27+가정!$C$33*M27+N27*L27</f>
        <v>82.96528236383584</v>
      </c>
      <c r="P27" s="27">
        <f>가정!$C$39*(1+D27*가정!$C$13)</f>
        <v>1.3910458333333331</v>
      </c>
      <c r="Q27" s="27">
        <f>1+F27*가정!$C$15</f>
        <v>1</v>
      </c>
      <c r="R27" s="27">
        <f t="shared" si="0"/>
        <v>1.3910458333333331</v>
      </c>
      <c r="S27" s="26">
        <f t="shared" si="1"/>
        <v>115.40851034353732</v>
      </c>
      <c r="T27" s="25">
        <f>IF(F27=1,가정!$C$16,가정!$C$40)</f>
        <v>31846</v>
      </c>
      <c r="U27" s="26">
        <f t="shared" si="2"/>
        <v>367.52994204002891</v>
      </c>
      <c r="V27" s="26">
        <f>U27/(1-가정!$C$41)*가정!$C$42</f>
        <v>386.87362320003047</v>
      </c>
      <c r="W27" s="25">
        <f>가정!$C$33+N27+K27</f>
        <v>633.20185988198227</v>
      </c>
      <c r="X27" s="25">
        <f t="shared" si="7"/>
        <v>843.20185988198193</v>
      </c>
      <c r="Y27" s="25">
        <f t="shared" si="3"/>
        <v>1476.4037197639641</v>
      </c>
      <c r="Z27" s="26">
        <f t="shared" si="4"/>
        <v>115.40851034353732</v>
      </c>
    </row>
    <row r="28" spans="1:26" x14ac:dyDescent="0.3">
      <c r="A28" s="16">
        <v>25</v>
      </c>
      <c r="B28" s="16">
        <v>2029</v>
      </c>
      <c r="C28" s="16">
        <v>1</v>
      </c>
      <c r="D28" s="17">
        <f>가정!$D$6*MIN(1,MAX(0,(A28-가정!$C$28+1)/가정!$C$30))</f>
        <v>0.41666666666666669</v>
      </c>
      <c r="E28" s="17">
        <f>IF(가정!$D$7&lt;30000,1,0)*MIN(1,MAX(0,(A28-가정!$C$29+1)/가정!$C$30))</f>
        <v>0</v>
      </c>
      <c r="F28" s="16">
        <f>IF(가정!$D$7&lt;30000,1,0)*IF(A28&gt;=가정!$C$29,1,0)</f>
        <v>0</v>
      </c>
      <c r="G28" s="17">
        <f>가정!$D$8*MIN(1,MAX(0,(A28-가정!$C$31+1)/가정!$C$32))</f>
        <v>0</v>
      </c>
      <c r="H28" s="18">
        <f>가정!$C$37+D28*가정!$C$14+E28*가정!$C$18</f>
        <v>-4.1666666666666666E-3</v>
      </c>
      <c r="I28" s="17">
        <f t="shared" si="5"/>
        <v>17.889656994306069</v>
      </c>
      <c r="J28" s="17">
        <f>I28*(1+G28*가정!$C$19)</f>
        <v>17.889656994306069</v>
      </c>
      <c r="K28" s="17">
        <f>I28*가정!$C$36*(1+G28*가정!$C$19*가정!$C$24)</f>
        <v>8.9448284971530345</v>
      </c>
      <c r="L28" s="18">
        <f>가정!$C$38+D28*가정!$C$12+E28*가정!$C$17</f>
        <v>0.11891666666666667</v>
      </c>
      <c r="M28" s="18">
        <f>가정!$C$38+가정!$C$23*(L28-가정!$C$38)</f>
        <v>0.11891666666666667</v>
      </c>
      <c r="N28" s="19">
        <f t="shared" si="6"/>
        <v>227.20185988198222</v>
      </c>
      <c r="O28" s="20">
        <f>K28+가정!$C$33*M28+N28*L28</f>
        <v>84.243083001452078</v>
      </c>
      <c r="P28" s="21">
        <f>가정!$C$39*(1+D28*가정!$C$13)</f>
        <v>1.3964166666666664</v>
      </c>
      <c r="Q28" s="21">
        <f>1+F28*가정!$C$15</f>
        <v>1</v>
      </c>
      <c r="R28" s="21">
        <f t="shared" si="0"/>
        <v>1.3964166666666664</v>
      </c>
      <c r="S28" s="20">
        <f t="shared" si="1"/>
        <v>117.63844515461102</v>
      </c>
      <c r="T28" s="19">
        <f>IF(F28=1,가정!$C$16,가정!$C$40)</f>
        <v>31846</v>
      </c>
      <c r="U28" s="20">
        <f t="shared" si="2"/>
        <v>374.63139243937422</v>
      </c>
      <c r="V28" s="20">
        <f>U28/(1-가정!$C$41)*가정!$C$42</f>
        <v>394.34883414670975</v>
      </c>
      <c r="W28" s="19">
        <f>가정!$C$33+N28+K28</f>
        <v>642.1466883791353</v>
      </c>
      <c r="X28" s="19">
        <f t="shared" si="7"/>
        <v>852.14668837913496</v>
      </c>
      <c r="Y28" s="19">
        <f t="shared" si="3"/>
        <v>1494.2933767582704</v>
      </c>
      <c r="Z28" s="20">
        <f t="shared" si="4"/>
        <v>117.63844515461102</v>
      </c>
    </row>
    <row r="29" spans="1:26" x14ac:dyDescent="0.3">
      <c r="A29" s="16">
        <v>26</v>
      </c>
      <c r="B29" s="16">
        <v>2029</v>
      </c>
      <c r="C29" s="16">
        <v>2</v>
      </c>
      <c r="D29" s="17">
        <f>가정!$D$6*MIN(1,MAX(0,(A29-가정!$C$28+1)/가정!$C$30))</f>
        <v>0.4375</v>
      </c>
      <c r="E29" s="17">
        <f>IF(가정!$D$7&lt;30000,1,0)*MIN(1,MAX(0,(A29-가정!$C$29+1)/가정!$C$30))</f>
        <v>0</v>
      </c>
      <c r="F29" s="16">
        <f>IF(가정!$D$7&lt;30000,1,0)*IF(A29&gt;=가정!$C$29,1,0)</f>
        <v>0</v>
      </c>
      <c r="G29" s="17">
        <f>가정!$D$8*MIN(1,MAX(0,(A29-가정!$C$31+1)/가정!$C$32))</f>
        <v>0</v>
      </c>
      <c r="H29" s="18">
        <f>가정!$C$37+D29*가정!$C$14+E29*가정!$C$18</f>
        <v>-4.1250000000000002E-3</v>
      </c>
      <c r="I29" s="17">
        <f t="shared" si="5"/>
        <v>17.815862159204556</v>
      </c>
      <c r="J29" s="17">
        <f>I29*(1+G29*가정!$C$19)</f>
        <v>17.815862159204556</v>
      </c>
      <c r="K29" s="17">
        <f>I29*가정!$C$36*(1+G29*가정!$C$19*가정!$C$24)</f>
        <v>8.9079310796022781</v>
      </c>
      <c r="L29" s="18">
        <f>가정!$C$38+D29*가정!$C$12+E29*가정!$C$17</f>
        <v>0.1193125</v>
      </c>
      <c r="M29" s="18">
        <f>가정!$C$38+가정!$C$23*(L29-가정!$C$38)</f>
        <v>0.1193125</v>
      </c>
      <c r="N29" s="19">
        <f t="shared" si="6"/>
        <v>236.14668837913524</v>
      </c>
      <c r="O29" s="20">
        <f>K29+가정!$C$33*M29+N29*L29</f>
        <v>85.524057836837855</v>
      </c>
      <c r="P29" s="21">
        <f>가정!$C$39*(1+D29*가정!$C$13)</f>
        <v>1.4017874999999997</v>
      </c>
      <c r="Q29" s="21">
        <f>1+F29*가정!$C$15</f>
        <v>1</v>
      </c>
      <c r="R29" s="21">
        <f t="shared" si="0"/>
        <v>1.4017874999999997</v>
      </c>
      <c r="S29" s="20">
        <f t="shared" si="1"/>
        <v>119.88655522495633</v>
      </c>
      <c r="T29" s="19">
        <f>IF(F29=1,가정!$C$16,가정!$C$40)</f>
        <v>31846</v>
      </c>
      <c r="U29" s="20">
        <f t="shared" si="2"/>
        <v>381.79072376939587</v>
      </c>
      <c r="V29" s="20">
        <f>U29/(1-가정!$C$41)*가정!$C$42</f>
        <v>401.88497238883775</v>
      </c>
      <c r="W29" s="19">
        <f>가정!$C$33+N29+K29</f>
        <v>651.05461945873742</v>
      </c>
      <c r="X29" s="19">
        <f t="shared" si="7"/>
        <v>861.05461945873731</v>
      </c>
      <c r="Y29" s="19">
        <f t="shared" si="3"/>
        <v>1512.1092389174746</v>
      </c>
      <c r="Z29" s="20">
        <f t="shared" si="4"/>
        <v>119.88655522495633</v>
      </c>
    </row>
    <row r="30" spans="1:26" x14ac:dyDescent="0.3">
      <c r="A30" s="16">
        <v>27</v>
      </c>
      <c r="B30" s="16">
        <v>2029</v>
      </c>
      <c r="C30" s="16">
        <v>3</v>
      </c>
      <c r="D30" s="17">
        <f>가정!$D$6*MIN(1,MAX(0,(A30-가정!$C$28+1)/가정!$C$30))</f>
        <v>0.45833333333333331</v>
      </c>
      <c r="E30" s="17">
        <f>IF(가정!$D$7&lt;30000,1,0)*MIN(1,MAX(0,(A30-가정!$C$29+1)/가정!$C$30))</f>
        <v>0</v>
      </c>
      <c r="F30" s="16">
        <f>IF(가정!$D$7&lt;30000,1,0)*IF(A30&gt;=가정!$C$29,1,0)</f>
        <v>0</v>
      </c>
      <c r="G30" s="17">
        <f>가정!$D$8*MIN(1,MAX(0,(A30-가정!$C$31+1)/가정!$C$32))</f>
        <v>0</v>
      </c>
      <c r="H30" s="18">
        <f>가정!$C$37+D30*가정!$C$14+E30*가정!$C$18</f>
        <v>-4.0833333333333338E-3</v>
      </c>
      <c r="I30" s="17">
        <f t="shared" si="5"/>
        <v>17.743114055387803</v>
      </c>
      <c r="J30" s="17">
        <f>I30*(1+G30*가정!$C$19)</f>
        <v>17.743114055387803</v>
      </c>
      <c r="K30" s="17">
        <f>I30*가정!$C$36*(1+G30*가정!$C$19*가정!$C$24)</f>
        <v>8.8715570276939015</v>
      </c>
      <c r="L30" s="18">
        <f>가정!$C$38+D30*가정!$C$12+E30*가정!$C$17</f>
        <v>0.11970833333333333</v>
      </c>
      <c r="M30" s="18">
        <f>가정!$C$38+가정!$C$23*(L30-가정!$C$38)</f>
        <v>0.11970833333333333</v>
      </c>
      <c r="N30" s="19">
        <f t="shared" si="6"/>
        <v>245.05461945873753</v>
      </c>
      <c r="O30" s="20">
        <f>K30+가정!$C$33*M30+N30*L30</f>
        <v>86.808220432066946</v>
      </c>
      <c r="P30" s="21">
        <f>가정!$C$39*(1+D30*가정!$C$13)</f>
        <v>1.4071583333333335</v>
      </c>
      <c r="Q30" s="21">
        <f>1+F30*가정!$C$15</f>
        <v>1</v>
      </c>
      <c r="R30" s="21">
        <f t="shared" si="0"/>
        <v>1.4071583333333335</v>
      </c>
      <c r="S30" s="20">
        <f t="shared" si="1"/>
        <v>122.15291078281996</v>
      </c>
      <c r="T30" s="19">
        <f>IF(F30=1,가정!$C$16,가정!$C$40)</f>
        <v>31846</v>
      </c>
      <c r="U30" s="20">
        <f t="shared" si="2"/>
        <v>389.00815967896847</v>
      </c>
      <c r="V30" s="20">
        <f>U30/(1-가정!$C$41)*가정!$C$42</f>
        <v>409.48227334628262</v>
      </c>
      <c r="W30" s="19">
        <f>가정!$C$33+N30+K30</f>
        <v>659.92617648643147</v>
      </c>
      <c r="X30" s="19">
        <f t="shared" si="7"/>
        <v>869.92617648643113</v>
      </c>
      <c r="Y30" s="19">
        <f t="shared" si="3"/>
        <v>1529.8523529728627</v>
      </c>
      <c r="Z30" s="20">
        <f t="shared" si="4"/>
        <v>122.15291078281996</v>
      </c>
    </row>
    <row r="31" spans="1:26" x14ac:dyDescent="0.3">
      <c r="A31" s="16">
        <v>28</v>
      </c>
      <c r="B31" s="16">
        <v>2029</v>
      </c>
      <c r="C31" s="16">
        <v>4</v>
      </c>
      <c r="D31" s="17">
        <f>가정!$D$6*MIN(1,MAX(0,(A31-가정!$C$28+1)/가정!$C$30))</f>
        <v>0.47916666666666669</v>
      </c>
      <c r="E31" s="17">
        <f>IF(가정!$D$7&lt;30000,1,0)*MIN(1,MAX(0,(A31-가정!$C$29+1)/가정!$C$30))</f>
        <v>0</v>
      </c>
      <c r="F31" s="16">
        <f>IF(가정!$D$7&lt;30000,1,0)*IF(A31&gt;=가정!$C$29,1,0)</f>
        <v>0</v>
      </c>
      <c r="G31" s="17">
        <f>가정!$D$8*MIN(1,MAX(0,(A31-가정!$C$31+1)/가정!$C$32))</f>
        <v>0</v>
      </c>
      <c r="H31" s="18">
        <f>가정!$C$37+D31*가정!$C$14+E31*가정!$C$18</f>
        <v>-4.0416666666666665E-3</v>
      </c>
      <c r="I31" s="17">
        <f t="shared" si="5"/>
        <v>17.671402302747275</v>
      </c>
      <c r="J31" s="17">
        <f>I31*(1+G31*가정!$C$19)</f>
        <v>17.671402302747275</v>
      </c>
      <c r="K31" s="17">
        <f>I31*가정!$C$36*(1+G31*가정!$C$19*가정!$C$24)</f>
        <v>8.8357011513736374</v>
      </c>
      <c r="L31" s="18">
        <f>가정!$C$38+D31*가정!$C$12+E31*가정!$C$17</f>
        <v>0.12010416666666666</v>
      </c>
      <c r="M31" s="18">
        <f>가정!$C$38+가정!$C$23*(L31-가정!$C$38)</f>
        <v>0.12010416666666666</v>
      </c>
      <c r="N31" s="19">
        <f t="shared" si="6"/>
        <v>253.92617648643144</v>
      </c>
      <c r="O31" s="20">
        <f>K31+가정!$C$33*M31+N31*L31</f>
        <v>88.095584639796073</v>
      </c>
      <c r="P31" s="21">
        <f>가정!$C$39*(1+D31*가정!$C$13)</f>
        <v>1.4125291666666666</v>
      </c>
      <c r="Q31" s="21">
        <f>1+F31*가정!$C$15</f>
        <v>1</v>
      </c>
      <c r="R31" s="21">
        <f t="shared" si="0"/>
        <v>1.4125291666666666</v>
      </c>
      <c r="S31" s="20">
        <f t="shared" si="1"/>
        <v>124.43758275826394</v>
      </c>
      <c r="T31" s="19">
        <f>IF(F31=1,가정!$C$16,가정!$C$40)</f>
        <v>31846</v>
      </c>
      <c r="U31" s="20">
        <f t="shared" si="2"/>
        <v>396.28392605196734</v>
      </c>
      <c r="V31" s="20">
        <f>U31/(1-가정!$C$41)*가정!$C$42</f>
        <v>417.14097479154458</v>
      </c>
      <c r="W31" s="19">
        <f>가정!$C$33+N31+K31</f>
        <v>668.76187763780513</v>
      </c>
      <c r="X31" s="19">
        <f t="shared" si="7"/>
        <v>878.76187763780479</v>
      </c>
      <c r="Y31" s="19">
        <f t="shared" si="3"/>
        <v>1547.5237552756098</v>
      </c>
      <c r="Z31" s="20">
        <f t="shared" si="4"/>
        <v>124.43758275826394</v>
      </c>
    </row>
    <row r="32" spans="1:26" x14ac:dyDescent="0.3">
      <c r="A32" s="16">
        <v>29</v>
      </c>
      <c r="B32" s="16">
        <v>2029</v>
      </c>
      <c r="C32" s="16">
        <v>5</v>
      </c>
      <c r="D32" s="17">
        <f>가정!$D$6*MIN(1,MAX(0,(A32-가정!$C$28+1)/가정!$C$30))</f>
        <v>0.5</v>
      </c>
      <c r="E32" s="17">
        <f>IF(가정!$D$7&lt;30000,1,0)*MIN(1,MAX(0,(A32-가정!$C$29+1)/가정!$C$30))</f>
        <v>0</v>
      </c>
      <c r="F32" s="16">
        <f>IF(가정!$D$7&lt;30000,1,0)*IF(A32&gt;=가정!$C$29,1,0)</f>
        <v>0</v>
      </c>
      <c r="G32" s="17">
        <f>가정!$D$8*MIN(1,MAX(0,(A32-가정!$C$31+1)/가정!$C$32))</f>
        <v>0</v>
      </c>
      <c r="H32" s="18">
        <f>가정!$C$37+D32*가정!$C$14+E32*가정!$C$18</f>
        <v>-4.0000000000000001E-3</v>
      </c>
      <c r="I32" s="17">
        <f t="shared" si="5"/>
        <v>17.600716693536285</v>
      </c>
      <c r="J32" s="17">
        <f>I32*(1+G32*가정!$C$19)</f>
        <v>17.600716693536285</v>
      </c>
      <c r="K32" s="17">
        <f>I32*가정!$C$36*(1+G32*가정!$C$19*가정!$C$24)</f>
        <v>8.8003583467681423</v>
      </c>
      <c r="L32" s="18">
        <f>가정!$C$38+D32*가정!$C$12+E32*가정!$C$17</f>
        <v>0.1205</v>
      </c>
      <c r="M32" s="18">
        <f>가정!$C$38+가정!$C$23*(L32-가정!$C$38)</f>
        <v>0.1205</v>
      </c>
      <c r="N32" s="19">
        <f t="shared" si="6"/>
        <v>262.76187763780507</v>
      </c>
      <c r="O32" s="20">
        <f>K32+가정!$C$33*M32+N32*L32</f>
        <v>89.386164602123657</v>
      </c>
      <c r="P32" s="21">
        <f>가정!$C$39*(1+D32*가정!$C$13)</f>
        <v>1.4178999999999999</v>
      </c>
      <c r="Q32" s="21">
        <f>1+F32*가정!$C$15</f>
        <v>1</v>
      </c>
      <c r="R32" s="21">
        <f t="shared" si="0"/>
        <v>1.4178999999999999</v>
      </c>
      <c r="S32" s="20">
        <f t="shared" si="1"/>
        <v>126.74064278935113</v>
      </c>
      <c r="T32" s="19">
        <f>IF(F32=1,가정!$C$16,가정!$C$40)</f>
        <v>31846</v>
      </c>
      <c r="U32" s="20">
        <f t="shared" si="2"/>
        <v>403.61825102696758</v>
      </c>
      <c r="V32" s="20">
        <f>U32/(1-가정!$C$41)*가정!$C$42</f>
        <v>424.8613168704922</v>
      </c>
      <c r="W32" s="19">
        <f>가정!$C$33+N32+K32</f>
        <v>677.56223598457325</v>
      </c>
      <c r="X32" s="19">
        <f t="shared" si="7"/>
        <v>887.56223598457291</v>
      </c>
      <c r="Y32" s="19">
        <f t="shared" si="3"/>
        <v>1565.1244719691463</v>
      </c>
      <c r="Z32" s="20">
        <f t="shared" si="4"/>
        <v>126.74064278935113</v>
      </c>
    </row>
    <row r="33" spans="1:26" x14ac:dyDescent="0.3">
      <c r="A33" s="16">
        <v>30</v>
      </c>
      <c r="B33" s="16">
        <v>2029</v>
      </c>
      <c r="C33" s="16">
        <v>6</v>
      </c>
      <c r="D33" s="17">
        <f>가정!$D$6*MIN(1,MAX(0,(A33-가정!$C$28+1)/가정!$C$30))</f>
        <v>0.52083333333333337</v>
      </c>
      <c r="E33" s="17">
        <f>IF(가정!$D$7&lt;30000,1,0)*MIN(1,MAX(0,(A33-가정!$C$29+1)/가정!$C$30))</f>
        <v>0</v>
      </c>
      <c r="F33" s="16">
        <f>IF(가정!$D$7&lt;30000,1,0)*IF(A33&gt;=가정!$C$29,1,0)</f>
        <v>0</v>
      </c>
      <c r="G33" s="17">
        <f>가정!$D$8*MIN(1,MAX(0,(A33-가정!$C$31+1)/가정!$C$32))</f>
        <v>0</v>
      </c>
      <c r="H33" s="18">
        <f>가정!$C$37+D33*가정!$C$14+E33*가정!$C$18</f>
        <v>-3.9583333333333328E-3</v>
      </c>
      <c r="I33" s="17">
        <f t="shared" si="5"/>
        <v>17.531047189957704</v>
      </c>
      <c r="J33" s="17">
        <f>I33*(1+G33*가정!$C$19)</f>
        <v>17.531047189957704</v>
      </c>
      <c r="K33" s="17">
        <f>I33*가정!$C$36*(1+G33*가정!$C$19*가정!$C$24)</f>
        <v>8.7655235949788519</v>
      </c>
      <c r="L33" s="18">
        <f>가정!$C$38+D33*가정!$C$12+E33*가정!$C$17</f>
        <v>0.12089583333333334</v>
      </c>
      <c r="M33" s="18">
        <f>가정!$C$38+가정!$C$23*(L33-가정!$C$38)</f>
        <v>0.12089583333333334</v>
      </c>
      <c r="N33" s="19">
        <f t="shared" si="6"/>
        <v>271.56223598457319</v>
      </c>
      <c r="O33" s="20">
        <f>K33+가정!$C$33*M33+N33*L33</f>
        <v>90.679974749530487</v>
      </c>
      <c r="P33" s="21">
        <f>가정!$C$39*(1+D33*가정!$C$13)</f>
        <v>1.4232708333333333</v>
      </c>
      <c r="Q33" s="21">
        <f>1+F33*가정!$C$15</f>
        <v>1</v>
      </c>
      <c r="R33" s="21">
        <f t="shared" si="0"/>
        <v>1.4232708333333333</v>
      </c>
      <c r="S33" s="20">
        <f t="shared" si="1"/>
        <v>129.06216322840987</v>
      </c>
      <c r="T33" s="19">
        <f>IF(F33=1,가정!$C$16,가정!$C$40)</f>
        <v>31846</v>
      </c>
      <c r="U33" s="20">
        <f t="shared" si="2"/>
        <v>411.01136501719407</v>
      </c>
      <c r="V33" s="20">
        <f>U33/(1-가정!$C$41)*가정!$C$42</f>
        <v>432.64354212336218</v>
      </c>
      <c r="W33" s="19">
        <f>가정!$C$33+N33+K33</f>
        <v>686.32775957955198</v>
      </c>
      <c r="X33" s="19">
        <f t="shared" si="7"/>
        <v>896.32775957955175</v>
      </c>
      <c r="Y33" s="19">
        <f t="shared" si="3"/>
        <v>1582.6555191591037</v>
      </c>
      <c r="Z33" s="20">
        <f t="shared" si="4"/>
        <v>129.06216322840987</v>
      </c>
    </row>
    <row r="34" spans="1:26" x14ac:dyDescent="0.3">
      <c r="A34" s="16">
        <v>31</v>
      </c>
      <c r="B34" s="16">
        <v>2029</v>
      </c>
      <c r="C34" s="16">
        <v>7</v>
      </c>
      <c r="D34" s="17">
        <f>가정!$D$6*MIN(1,MAX(0,(A34-가정!$C$28+1)/가정!$C$30))</f>
        <v>0.54166666666666663</v>
      </c>
      <c r="E34" s="17">
        <f>IF(가정!$D$7&lt;30000,1,0)*MIN(1,MAX(0,(A34-가정!$C$29+1)/가정!$C$30))</f>
        <v>0</v>
      </c>
      <c r="F34" s="16">
        <f>IF(가정!$D$7&lt;30000,1,0)*IF(A34&gt;=가정!$C$29,1,0)</f>
        <v>0</v>
      </c>
      <c r="G34" s="17">
        <f>가정!$D$8*MIN(1,MAX(0,(A34-가정!$C$31+1)/가정!$C$32))</f>
        <v>0</v>
      </c>
      <c r="H34" s="18">
        <f>가정!$C$37+D34*가정!$C$14+E34*가정!$C$18</f>
        <v>-3.9166666666666673E-3</v>
      </c>
      <c r="I34" s="17">
        <f t="shared" si="5"/>
        <v>17.462383921797034</v>
      </c>
      <c r="J34" s="17">
        <f>I34*(1+G34*가정!$C$19)</f>
        <v>17.462383921797034</v>
      </c>
      <c r="K34" s="17">
        <f>I34*가정!$C$36*(1+G34*가정!$C$19*가정!$C$24)</f>
        <v>8.7311919608985171</v>
      </c>
      <c r="L34" s="18">
        <f>가정!$C$38+D34*가정!$C$12+E34*가정!$C$17</f>
        <v>0.12129166666666667</v>
      </c>
      <c r="M34" s="18">
        <f>가정!$C$38+가정!$C$23*(L34-가정!$C$38)</f>
        <v>0.12129166666666667</v>
      </c>
      <c r="N34" s="19">
        <f t="shared" si="6"/>
        <v>280.32775957955204</v>
      </c>
      <c r="O34" s="20">
        <f>K34+가정!$C$33*M34+N34*L34</f>
        <v>91.977029799901686</v>
      </c>
      <c r="P34" s="21">
        <f>가정!$C$39*(1+D34*가정!$C$13)</f>
        <v>1.4286416666666666</v>
      </c>
      <c r="Q34" s="21">
        <f>1+F34*가정!$C$15</f>
        <v>1</v>
      </c>
      <c r="R34" s="21">
        <f t="shared" si="0"/>
        <v>1.4286416666666666</v>
      </c>
      <c r="S34" s="20">
        <f t="shared" si="1"/>
        <v>131.4022171483812</v>
      </c>
      <c r="T34" s="19">
        <f>IF(F34=1,가정!$C$16,가정!$C$40)</f>
        <v>31846</v>
      </c>
      <c r="U34" s="20">
        <f t="shared" si="2"/>
        <v>418.46350073073478</v>
      </c>
      <c r="V34" s="20">
        <f>U34/(1-가정!$C$41)*가정!$C$42</f>
        <v>440.48789550603664</v>
      </c>
      <c r="W34" s="19">
        <f>가정!$C$33+N34+K34</f>
        <v>695.05895154045061</v>
      </c>
      <c r="X34" s="19">
        <f t="shared" si="7"/>
        <v>905.05895154045027</v>
      </c>
      <c r="Y34" s="19">
        <f t="shared" si="3"/>
        <v>1600.1179030809008</v>
      </c>
      <c r="Z34" s="20">
        <f t="shared" si="4"/>
        <v>131.4022171483812</v>
      </c>
    </row>
    <row r="35" spans="1:26" x14ac:dyDescent="0.3">
      <c r="A35" s="16">
        <v>32</v>
      </c>
      <c r="B35" s="16">
        <v>2029</v>
      </c>
      <c r="C35" s="16">
        <v>8</v>
      </c>
      <c r="D35" s="17">
        <f>가정!$D$6*MIN(1,MAX(0,(A35-가정!$C$28+1)/가정!$C$30))</f>
        <v>0.5625</v>
      </c>
      <c r="E35" s="17">
        <f>IF(가정!$D$7&lt;30000,1,0)*MIN(1,MAX(0,(A35-가정!$C$29+1)/가정!$C$30))</f>
        <v>0</v>
      </c>
      <c r="F35" s="16">
        <f>IF(가정!$D$7&lt;30000,1,0)*IF(A35&gt;=가정!$C$29,1,0)</f>
        <v>0</v>
      </c>
      <c r="G35" s="17">
        <f>가정!$D$8*MIN(1,MAX(0,(A35-가정!$C$31+1)/가정!$C$32))</f>
        <v>0</v>
      </c>
      <c r="H35" s="18">
        <f>가정!$C$37+D35*가정!$C$14+E35*가정!$C$18</f>
        <v>-3.875E-3</v>
      </c>
      <c r="I35" s="17">
        <f t="shared" si="5"/>
        <v>17.39471718410007</v>
      </c>
      <c r="J35" s="17">
        <f>I35*(1+G35*가정!$C$19)</f>
        <v>17.39471718410007</v>
      </c>
      <c r="K35" s="17">
        <f>I35*가정!$C$36*(1+G35*가정!$C$19*가정!$C$24)</f>
        <v>8.6973585920500351</v>
      </c>
      <c r="L35" s="18">
        <f>가정!$C$38+D35*가정!$C$12+E35*가정!$C$17</f>
        <v>0.1216875</v>
      </c>
      <c r="M35" s="18">
        <f>가정!$C$38+가정!$C$23*(L35-가정!$C$38)</f>
        <v>0.1216875</v>
      </c>
      <c r="N35" s="19">
        <f t="shared" si="6"/>
        <v>289.05895154045055</v>
      </c>
      <c r="O35" s="20">
        <f>K35+가정!$C$33*M35+N35*L35</f>
        <v>93.277344757628612</v>
      </c>
      <c r="P35" s="21">
        <f>가정!$C$39*(1+D35*가정!$C$13)</f>
        <v>1.4340124999999999</v>
      </c>
      <c r="Q35" s="21">
        <f>1+F35*가정!$C$15</f>
        <v>1</v>
      </c>
      <c r="R35" s="21">
        <f t="shared" si="0"/>
        <v>1.4340124999999999</v>
      </c>
      <c r="S35" s="20">
        <f t="shared" si="1"/>
        <v>133.76087834924888</v>
      </c>
      <c r="T35" s="19">
        <f>IF(F35=1,가정!$C$16,가정!$C$40)</f>
        <v>31846</v>
      </c>
      <c r="U35" s="20">
        <f t="shared" si="2"/>
        <v>425.97489319101794</v>
      </c>
      <c r="V35" s="20">
        <f>U35/(1-가정!$C$41)*가정!$C$42</f>
        <v>448.39462441159787</v>
      </c>
      <c r="W35" s="19">
        <f>가정!$C$33+N35+K35</f>
        <v>703.75631013250063</v>
      </c>
      <c r="X35" s="19">
        <f t="shared" si="7"/>
        <v>913.75631013250029</v>
      </c>
      <c r="Y35" s="19">
        <f t="shared" si="3"/>
        <v>1617.5126202650008</v>
      </c>
      <c r="Z35" s="20">
        <f t="shared" si="4"/>
        <v>133.76087834924888</v>
      </c>
    </row>
    <row r="36" spans="1:26" x14ac:dyDescent="0.3">
      <c r="A36" s="16">
        <v>33</v>
      </c>
      <c r="B36" s="16">
        <v>2029</v>
      </c>
      <c r="C36" s="16">
        <v>9</v>
      </c>
      <c r="D36" s="17">
        <f>가정!$D$6*MIN(1,MAX(0,(A36-가정!$C$28+1)/가정!$C$30))</f>
        <v>0.58333333333333337</v>
      </c>
      <c r="E36" s="17">
        <f>IF(가정!$D$7&lt;30000,1,0)*MIN(1,MAX(0,(A36-가정!$C$29+1)/가정!$C$30))</f>
        <v>0</v>
      </c>
      <c r="F36" s="16">
        <f>IF(가정!$D$7&lt;30000,1,0)*IF(A36&gt;=가정!$C$29,1,0)</f>
        <v>0</v>
      </c>
      <c r="G36" s="17">
        <f>가정!$D$8*MIN(1,MAX(0,(A36-가정!$C$31+1)/가정!$C$32))</f>
        <v>0</v>
      </c>
      <c r="H36" s="18">
        <f>가정!$C$37+D36*가정!$C$14+E36*가정!$C$18</f>
        <v>-3.8333333333333336E-3</v>
      </c>
      <c r="I36" s="17">
        <f t="shared" si="5"/>
        <v>17.328037434894352</v>
      </c>
      <c r="J36" s="17">
        <f>I36*(1+G36*가정!$C$19)</f>
        <v>17.328037434894352</v>
      </c>
      <c r="K36" s="17">
        <f>I36*가정!$C$36*(1+G36*가정!$C$19*가정!$C$24)</f>
        <v>8.6640187174471759</v>
      </c>
      <c r="L36" s="18">
        <f>가정!$C$38+D36*가정!$C$12+E36*가정!$C$17</f>
        <v>0.12208333333333334</v>
      </c>
      <c r="M36" s="18">
        <f>가정!$C$38+가정!$C$23*(L36-가정!$C$38)</f>
        <v>0.12208333333333334</v>
      </c>
      <c r="N36" s="19">
        <f t="shared" si="6"/>
        <v>297.75631013250057</v>
      </c>
      <c r="O36" s="20">
        <f>K36+가정!$C$33*M36+N36*L36</f>
        <v>94.580934912789957</v>
      </c>
      <c r="P36" s="21">
        <f>가정!$C$39*(1+D36*가정!$C$13)</f>
        <v>1.4393833333333332</v>
      </c>
      <c r="Q36" s="21">
        <f>1+F36*가정!$C$15</f>
        <v>1</v>
      </c>
      <c r="R36" s="21">
        <f t="shared" ref="R36:R63" si="8">P36*Q36</f>
        <v>1.4393833333333332</v>
      </c>
      <c r="S36" s="20">
        <f t="shared" ref="S36:S63" si="9">O36*R36</f>
        <v>136.13822136455465</v>
      </c>
      <c r="T36" s="19">
        <f>IF(F36=1,가정!$C$16,가정!$C$40)</f>
        <v>31846</v>
      </c>
      <c r="U36" s="20">
        <f t="shared" ref="U36:U63" si="10">S36*T36/10000</f>
        <v>433.54577975756081</v>
      </c>
      <c r="V36" s="20">
        <f>U36/(1-가정!$C$41)*가정!$C$42</f>
        <v>456.36397869216927</v>
      </c>
      <c r="W36" s="19">
        <f>가정!$C$33+N36+K36</f>
        <v>712.42032884994785</v>
      </c>
      <c r="X36" s="19">
        <f t="shared" si="7"/>
        <v>922.4203288499474</v>
      </c>
      <c r="Y36" s="19">
        <f t="shared" ref="Y36:Y63" si="11">W36+X36</f>
        <v>1634.8406576998952</v>
      </c>
      <c r="Z36" s="20">
        <f t="shared" ref="Z36:Z63" si="12">O36*P36</f>
        <v>136.13822136455465</v>
      </c>
    </row>
    <row r="37" spans="1:26" x14ac:dyDescent="0.3">
      <c r="A37" s="16">
        <v>34</v>
      </c>
      <c r="B37" s="16">
        <v>2029</v>
      </c>
      <c r="C37" s="16">
        <v>10</v>
      </c>
      <c r="D37" s="17">
        <f>가정!$D$6*MIN(1,MAX(0,(A37-가정!$C$28+1)/가정!$C$30))</f>
        <v>0.60416666666666663</v>
      </c>
      <c r="E37" s="17">
        <f>IF(가정!$D$7&lt;30000,1,0)*MIN(1,MAX(0,(A37-가정!$C$29+1)/가정!$C$30))</f>
        <v>0</v>
      </c>
      <c r="F37" s="16">
        <f>IF(가정!$D$7&lt;30000,1,0)*IF(A37&gt;=가정!$C$29,1,0)</f>
        <v>0</v>
      </c>
      <c r="G37" s="17">
        <f>가정!$D$8*MIN(1,MAX(0,(A37-가정!$C$31+1)/가정!$C$32))</f>
        <v>0</v>
      </c>
      <c r="H37" s="18">
        <f>가정!$C$37+D37*가정!$C$14+E37*가정!$C$18</f>
        <v>-3.7916666666666671E-3</v>
      </c>
      <c r="I37" s="17">
        <f t="shared" ref="I37:I63" si="13">I36*(1+H37)</f>
        <v>17.262335292953711</v>
      </c>
      <c r="J37" s="17">
        <f>I37*(1+G37*가정!$C$19)</f>
        <v>17.262335292953711</v>
      </c>
      <c r="K37" s="17">
        <f>I37*가정!$C$36*(1+G37*가정!$C$19*가정!$C$24)</f>
        <v>8.6311676464768556</v>
      </c>
      <c r="L37" s="18">
        <f>가정!$C$38+D37*가정!$C$12+E37*가정!$C$17</f>
        <v>0.12247916666666667</v>
      </c>
      <c r="M37" s="18">
        <f>가정!$C$38+가정!$C$23*(L37-가정!$C$38)</f>
        <v>0.12247916666666667</v>
      </c>
      <c r="N37" s="19">
        <f t="shared" ref="N37:N63" si="14">N36+K36</f>
        <v>306.42032884994774</v>
      </c>
      <c r="O37" s="20">
        <f>K37+가정!$C$33*M37+N37*L37</f>
        <v>95.887815840411079</v>
      </c>
      <c r="P37" s="21">
        <f>가정!$C$39*(1+D37*가정!$C$13)</f>
        <v>1.4447541666666666</v>
      </c>
      <c r="Q37" s="21">
        <f>1+F37*가정!$C$15</f>
        <v>1</v>
      </c>
      <c r="R37" s="21">
        <f t="shared" si="8"/>
        <v>1.4447541666666666</v>
      </c>
      <c r="S37" s="20">
        <f t="shared" si="9"/>
        <v>138.53432146799989</v>
      </c>
      <c r="T37" s="19">
        <f>IF(F37=1,가정!$C$16,가정!$C$40)</f>
        <v>31846</v>
      </c>
      <c r="U37" s="20">
        <f t="shared" si="10"/>
        <v>441.17640014699242</v>
      </c>
      <c r="V37" s="20">
        <f>U37/(1-가정!$C$41)*가정!$C$42</f>
        <v>464.39621068104469</v>
      </c>
      <c r="W37" s="19">
        <f>가정!$C$33+N37+K37</f>
        <v>721.05149649642465</v>
      </c>
      <c r="X37" s="19">
        <f t="shared" ref="X37:X63" si="15">X36+J37-K37</f>
        <v>931.05149649642419</v>
      </c>
      <c r="Y37" s="19">
        <f t="shared" si="11"/>
        <v>1652.1029929928488</v>
      </c>
      <c r="Z37" s="20">
        <f t="shared" si="12"/>
        <v>138.53432146799989</v>
      </c>
    </row>
    <row r="38" spans="1:26" x14ac:dyDescent="0.3">
      <c r="A38" s="16">
        <v>35</v>
      </c>
      <c r="B38" s="16">
        <v>2029</v>
      </c>
      <c r="C38" s="16">
        <v>11</v>
      </c>
      <c r="D38" s="17">
        <f>가정!$D$6*MIN(1,MAX(0,(A38-가정!$C$28+1)/가정!$C$30))</f>
        <v>0.625</v>
      </c>
      <c r="E38" s="17">
        <f>IF(가정!$D$7&lt;30000,1,0)*MIN(1,MAX(0,(A38-가정!$C$29+1)/가정!$C$30))</f>
        <v>0</v>
      </c>
      <c r="F38" s="16">
        <f>IF(가정!$D$7&lt;30000,1,0)*IF(A38&gt;=가정!$C$29,1,0)</f>
        <v>0</v>
      </c>
      <c r="G38" s="17">
        <f>가정!$D$8*MIN(1,MAX(0,(A38-가정!$C$31+1)/가정!$C$32))</f>
        <v>0</v>
      </c>
      <c r="H38" s="18">
        <f>가정!$C$37+D38*가정!$C$14+E38*가정!$C$18</f>
        <v>-3.7499999999999999E-3</v>
      </c>
      <c r="I38" s="17">
        <f t="shared" si="13"/>
        <v>17.197601535605134</v>
      </c>
      <c r="J38" s="17">
        <f>I38*(1+G38*가정!$C$19)</f>
        <v>17.197601535605134</v>
      </c>
      <c r="K38" s="17">
        <f>I38*가정!$C$36*(1+G38*가정!$C$19*가정!$C$24)</f>
        <v>8.5988007678025671</v>
      </c>
      <c r="L38" s="18">
        <f>가정!$C$38+D38*가정!$C$12+E38*가정!$C$17</f>
        <v>0.122875</v>
      </c>
      <c r="M38" s="18">
        <f>가정!$C$38+가정!$C$23*(L38-가정!$C$38)</f>
        <v>0.122875</v>
      </c>
      <c r="N38" s="19">
        <f t="shared" si="14"/>
        <v>315.05149649642459</v>
      </c>
      <c r="O38" s="20">
        <f>K38+가정!$C$33*M38+N38*L38</f>
        <v>97.19800339980074</v>
      </c>
      <c r="P38" s="21">
        <f>가정!$C$39*(1+D38*가정!$C$13)</f>
        <v>1.4501249999999999</v>
      </c>
      <c r="Q38" s="21">
        <f>1+F38*가정!$C$15</f>
        <v>1</v>
      </c>
      <c r="R38" s="21">
        <f t="shared" si="8"/>
        <v>1.4501249999999999</v>
      </c>
      <c r="S38" s="20">
        <f t="shared" si="9"/>
        <v>140.94925468013605</v>
      </c>
      <c r="T38" s="19">
        <f>IF(F38=1,가정!$C$16,가정!$C$40)</f>
        <v>31846</v>
      </c>
      <c r="U38" s="20">
        <f t="shared" si="10"/>
        <v>448.86699645436124</v>
      </c>
      <c r="V38" s="20">
        <f>U38/(1-가정!$C$41)*가정!$C$42</f>
        <v>472.49157521511711</v>
      </c>
      <c r="W38" s="19">
        <f>가정!$C$33+N38+K38</f>
        <v>729.65029726422711</v>
      </c>
      <c r="X38" s="19">
        <f t="shared" si="15"/>
        <v>939.65029726422677</v>
      </c>
      <c r="Y38" s="19">
        <f t="shared" si="11"/>
        <v>1669.300594528454</v>
      </c>
      <c r="Z38" s="20">
        <f t="shared" si="12"/>
        <v>140.94925468013605</v>
      </c>
    </row>
    <row r="39" spans="1:26" x14ac:dyDescent="0.3">
      <c r="A39" s="22">
        <v>36</v>
      </c>
      <c r="B39" s="22">
        <v>2029</v>
      </c>
      <c r="C39" s="22">
        <v>12</v>
      </c>
      <c r="D39" s="23">
        <f>가정!$D$6*MIN(1,MAX(0,(A39-가정!$C$28+1)/가정!$C$30))</f>
        <v>0.64583333333333337</v>
      </c>
      <c r="E39" s="23">
        <f>IF(가정!$D$7&lt;30000,1,0)*MIN(1,MAX(0,(A39-가정!$C$29+1)/가정!$C$30))</f>
        <v>0</v>
      </c>
      <c r="F39" s="22">
        <f>IF(가정!$D$7&lt;30000,1,0)*IF(A39&gt;=가정!$C$29,1,0)</f>
        <v>0</v>
      </c>
      <c r="G39" s="23">
        <f>가정!$D$8*MIN(1,MAX(0,(A39-가정!$C$31+1)/가정!$C$32))</f>
        <v>0</v>
      </c>
      <c r="H39" s="24">
        <f>가정!$C$37+D39*가정!$C$14+E39*가정!$C$18</f>
        <v>-3.7083333333333334E-3</v>
      </c>
      <c r="I39" s="23">
        <f t="shared" si="13"/>
        <v>17.133827096577267</v>
      </c>
      <c r="J39" s="23">
        <f>I39*(1+G39*가정!$C$19)</f>
        <v>17.133827096577267</v>
      </c>
      <c r="K39" s="23">
        <f>I39*가정!$C$36*(1+G39*가정!$C$19*가정!$C$24)</f>
        <v>8.5669135482886336</v>
      </c>
      <c r="L39" s="24">
        <f>가정!$C$38+D39*가정!$C$12+E39*가정!$C$17</f>
        <v>0.12327083333333333</v>
      </c>
      <c r="M39" s="24">
        <f>가정!$C$38+가정!$C$23*(L39-가정!$C$38)</f>
        <v>0.12327083333333333</v>
      </c>
      <c r="N39" s="25">
        <f t="shared" si="14"/>
        <v>323.65029726422716</v>
      </c>
      <c r="O39" s="26">
        <f>K39+가정!$C$33*M39+N39*L39</f>
        <v>98.511513733964307</v>
      </c>
      <c r="P39" s="27">
        <f>가정!$C$39*(1+D39*가정!$C$13)</f>
        <v>1.4554958333333332</v>
      </c>
      <c r="Q39" s="27">
        <f>1+F39*가정!$C$15</f>
        <v>1</v>
      </c>
      <c r="R39" s="27">
        <f t="shared" si="8"/>
        <v>1.4554958333333332</v>
      </c>
      <c r="S39" s="26">
        <f t="shared" si="9"/>
        <v>143.38309777514448</v>
      </c>
      <c r="T39" s="25">
        <f>IF(F39=1,가정!$C$16,가정!$C$40)</f>
        <v>31846</v>
      </c>
      <c r="U39" s="26">
        <f t="shared" si="10"/>
        <v>456.61781317472514</v>
      </c>
      <c r="V39" s="26">
        <f>U39/(1-가정!$C$41)*가정!$C$42</f>
        <v>480.65032965760543</v>
      </c>
      <c r="W39" s="25">
        <f>가정!$C$33+N39+K39</f>
        <v>738.21721081251587</v>
      </c>
      <c r="X39" s="25">
        <f t="shared" si="15"/>
        <v>948.21721081251542</v>
      </c>
      <c r="Y39" s="25">
        <f t="shared" si="11"/>
        <v>1686.4344216250313</v>
      </c>
      <c r="Z39" s="26">
        <f t="shared" si="12"/>
        <v>143.38309777514448</v>
      </c>
    </row>
    <row r="40" spans="1:26" x14ac:dyDescent="0.3">
      <c r="A40" s="16">
        <v>37</v>
      </c>
      <c r="B40" s="16">
        <v>2030</v>
      </c>
      <c r="C40" s="16">
        <v>1</v>
      </c>
      <c r="D40" s="17">
        <f>가정!$D$6*MIN(1,MAX(0,(A40-가정!$C$28+1)/가정!$C$30))</f>
        <v>0.66666666666666663</v>
      </c>
      <c r="E40" s="17">
        <f>IF(가정!$D$7&lt;30000,1,0)*MIN(1,MAX(0,(A40-가정!$C$29+1)/가정!$C$30))</f>
        <v>0</v>
      </c>
      <c r="F40" s="16">
        <f>IF(가정!$D$7&lt;30000,1,0)*IF(A40&gt;=가정!$C$29,1,0)</f>
        <v>0</v>
      </c>
      <c r="G40" s="17">
        <f>가정!$D$8*MIN(1,MAX(0,(A40-가정!$C$31+1)/가정!$C$32))</f>
        <v>0</v>
      </c>
      <c r="H40" s="18">
        <f>가정!$C$37+D40*가정!$C$14+E40*가정!$C$18</f>
        <v>-3.666666666666667E-3</v>
      </c>
      <c r="I40" s="17">
        <f t="shared" si="13"/>
        <v>17.071003063889815</v>
      </c>
      <c r="J40" s="17">
        <f>I40*(1+G40*가정!$C$19)</f>
        <v>17.071003063889815</v>
      </c>
      <c r="K40" s="17">
        <f>I40*가정!$C$36*(1+G40*가정!$C$19*가정!$C$24)</f>
        <v>8.5355015319449077</v>
      </c>
      <c r="L40" s="18">
        <f>가정!$C$38+D40*가정!$C$12+E40*가정!$C$17</f>
        <v>0.12366666666666667</v>
      </c>
      <c r="M40" s="18">
        <f>가정!$C$38+가정!$C$23*(L40-가정!$C$38)</f>
        <v>0.12366666666666667</v>
      </c>
      <c r="N40" s="19">
        <f t="shared" si="14"/>
        <v>332.21721081251582</v>
      </c>
      <c r="O40" s="20">
        <f>K40+가정!$C$33*M40+N40*L40</f>
        <v>99.828363269092705</v>
      </c>
      <c r="P40" s="21">
        <f>가정!$C$39*(1+D40*가정!$C$13)</f>
        <v>1.4608666666666665</v>
      </c>
      <c r="Q40" s="21">
        <f>1+F40*가정!$C$15</f>
        <v>1</v>
      </c>
      <c r="R40" s="21">
        <f t="shared" si="8"/>
        <v>1.4608666666666665</v>
      </c>
      <c r="S40" s="20">
        <f t="shared" si="9"/>
        <v>145.83592828770855</v>
      </c>
      <c r="T40" s="19">
        <f>IF(F40=1,가정!$C$16,가정!$C$40)</f>
        <v>31846</v>
      </c>
      <c r="U40" s="20">
        <f t="shared" si="10"/>
        <v>464.42909722503668</v>
      </c>
      <c r="V40" s="20">
        <f>U40/(1-가정!$C$41)*가정!$C$42</f>
        <v>488.87273392109125</v>
      </c>
      <c r="W40" s="19">
        <f>가정!$C$33+N40+K40</f>
        <v>746.75271234446063</v>
      </c>
      <c r="X40" s="19">
        <f t="shared" si="15"/>
        <v>956.75271234446041</v>
      </c>
      <c r="Y40" s="19">
        <f t="shared" si="11"/>
        <v>1703.505424688921</v>
      </c>
      <c r="Z40" s="20">
        <f t="shared" si="12"/>
        <v>145.83592828770855</v>
      </c>
    </row>
    <row r="41" spans="1:26" x14ac:dyDescent="0.3">
      <c r="A41" s="16">
        <v>38</v>
      </c>
      <c r="B41" s="16">
        <v>2030</v>
      </c>
      <c r="C41" s="16">
        <v>2</v>
      </c>
      <c r="D41" s="17">
        <f>가정!$D$6*MIN(1,MAX(0,(A41-가정!$C$28+1)/가정!$C$30))</f>
        <v>0.6875</v>
      </c>
      <c r="E41" s="17">
        <f>IF(가정!$D$7&lt;30000,1,0)*MIN(1,MAX(0,(A41-가정!$C$29+1)/가정!$C$30))</f>
        <v>0</v>
      </c>
      <c r="F41" s="16">
        <f>IF(가정!$D$7&lt;30000,1,0)*IF(A41&gt;=가정!$C$29,1,0)</f>
        <v>0</v>
      </c>
      <c r="G41" s="17">
        <f>가정!$D$8*MIN(1,MAX(0,(A41-가정!$C$31+1)/가정!$C$32))</f>
        <v>0</v>
      </c>
      <c r="H41" s="18">
        <f>가정!$C$37+D41*가정!$C$14+E41*가정!$C$18</f>
        <v>-3.6250000000000002E-3</v>
      </c>
      <c r="I41" s="17">
        <f t="shared" si="13"/>
        <v>17.009120677783216</v>
      </c>
      <c r="J41" s="17">
        <f>I41*(1+G41*가정!$C$19)</f>
        <v>17.009120677783216</v>
      </c>
      <c r="K41" s="17">
        <f>I41*가정!$C$36*(1+G41*가정!$C$19*가정!$C$24)</f>
        <v>8.5045603388916078</v>
      </c>
      <c r="L41" s="18">
        <f>가정!$C$38+D41*가정!$C$12+E41*가정!$C$17</f>
        <v>0.12406250000000001</v>
      </c>
      <c r="M41" s="18">
        <f>가정!$C$38+가정!$C$23*(L41-가정!$C$38)</f>
        <v>0.12406250000000001</v>
      </c>
      <c r="N41" s="19">
        <f t="shared" si="14"/>
        <v>340.75271234446075</v>
      </c>
      <c r="O41" s="20">
        <f>K41+가정!$C$33*M41+N41*L41</f>
        <v>101.14856871412627</v>
      </c>
      <c r="P41" s="21">
        <f>가정!$C$39*(1+D41*가정!$C$13)</f>
        <v>1.4662374999999999</v>
      </c>
      <c r="Q41" s="21">
        <f>1+F41*가정!$C$15</f>
        <v>1</v>
      </c>
      <c r="R41" s="21">
        <f t="shared" si="8"/>
        <v>1.4662374999999999</v>
      </c>
      <c r="S41" s="20">
        <f t="shared" si="9"/>
        <v>148.30782451997871</v>
      </c>
      <c r="T41" s="19">
        <f>IF(F41=1,가정!$C$16,가정!$C$40)</f>
        <v>31846</v>
      </c>
      <c r="U41" s="20">
        <f t="shared" si="10"/>
        <v>472.30109796632416</v>
      </c>
      <c r="V41" s="20">
        <f>U41/(1-가정!$C$41)*가정!$C$42</f>
        <v>497.15905049086757</v>
      </c>
      <c r="W41" s="19">
        <f>가정!$C$33+N41+K41</f>
        <v>755.25727268335231</v>
      </c>
      <c r="X41" s="19">
        <f t="shared" si="15"/>
        <v>965.25727268335208</v>
      </c>
      <c r="Y41" s="19">
        <f t="shared" si="11"/>
        <v>1720.5145453667044</v>
      </c>
      <c r="Z41" s="20">
        <f t="shared" si="12"/>
        <v>148.30782451997871</v>
      </c>
    </row>
    <row r="42" spans="1:26" x14ac:dyDescent="0.3">
      <c r="A42" s="16">
        <v>39</v>
      </c>
      <c r="B42" s="16">
        <v>2030</v>
      </c>
      <c r="C42" s="16">
        <v>3</v>
      </c>
      <c r="D42" s="17">
        <f>가정!$D$6*MIN(1,MAX(0,(A42-가정!$C$28+1)/가정!$C$30))</f>
        <v>0.70833333333333337</v>
      </c>
      <c r="E42" s="17">
        <f>IF(가정!$D$7&lt;30000,1,0)*MIN(1,MAX(0,(A42-가정!$C$29+1)/가정!$C$30))</f>
        <v>0</v>
      </c>
      <c r="F42" s="16">
        <f>IF(가정!$D$7&lt;30000,1,0)*IF(A42&gt;=가정!$C$29,1,0)</f>
        <v>0</v>
      </c>
      <c r="G42" s="17">
        <f>가정!$D$8*MIN(1,MAX(0,(A42-가정!$C$31+1)/가정!$C$32))</f>
        <v>0</v>
      </c>
      <c r="H42" s="18">
        <f>가정!$C$37+D42*가정!$C$14+E42*가정!$C$18</f>
        <v>-3.5833333333333333E-3</v>
      </c>
      <c r="I42" s="17">
        <f t="shared" si="13"/>
        <v>16.948171328687824</v>
      </c>
      <c r="J42" s="17">
        <f>I42*(1+G42*가정!$C$19)</f>
        <v>16.948171328687824</v>
      </c>
      <c r="K42" s="17">
        <f>I42*가정!$C$36*(1+G42*가정!$C$19*가정!$C$24)</f>
        <v>8.474085664343912</v>
      </c>
      <c r="L42" s="18">
        <f>가정!$C$38+D42*가정!$C$12+E42*가정!$C$17</f>
        <v>0.12445833333333334</v>
      </c>
      <c r="M42" s="18">
        <f>가정!$C$38+가정!$C$23*(L42-가정!$C$38)</f>
        <v>0.12445833333333334</v>
      </c>
      <c r="N42" s="19">
        <f t="shared" si="14"/>
        <v>349.25727268335237</v>
      </c>
      <c r="O42" s="20">
        <f>K42+가정!$C$33*M42+N42*L42</f>
        <v>102.47214706039281</v>
      </c>
      <c r="P42" s="21">
        <f>가정!$C$39*(1+D42*가정!$C$13)</f>
        <v>1.4716083333333332</v>
      </c>
      <c r="Q42" s="21">
        <f>1+F42*가정!$C$15</f>
        <v>1</v>
      </c>
      <c r="R42" s="21">
        <f t="shared" si="8"/>
        <v>1.4716083333333332</v>
      </c>
      <c r="S42" s="20">
        <f t="shared" si="9"/>
        <v>150.79886554863288</v>
      </c>
      <c r="T42" s="19">
        <f>IF(F42=1,가정!$C$16,가정!$C$40)</f>
        <v>31846</v>
      </c>
      <c r="U42" s="20">
        <f t="shared" si="10"/>
        <v>480.23406722617625</v>
      </c>
      <c r="V42" s="20">
        <f>U42/(1-가정!$C$41)*가정!$C$42</f>
        <v>505.50954444860662</v>
      </c>
      <c r="W42" s="19">
        <f>가정!$C$33+N42+K42</f>
        <v>763.73135834769619</v>
      </c>
      <c r="X42" s="19">
        <f t="shared" si="15"/>
        <v>973.73135834769607</v>
      </c>
      <c r="Y42" s="19">
        <f t="shared" si="11"/>
        <v>1737.4627166953924</v>
      </c>
      <c r="Z42" s="20">
        <f t="shared" si="12"/>
        <v>150.79886554863288</v>
      </c>
    </row>
    <row r="43" spans="1:26" x14ac:dyDescent="0.3">
      <c r="A43" s="16">
        <v>40</v>
      </c>
      <c r="B43" s="16">
        <v>2030</v>
      </c>
      <c r="C43" s="16">
        <v>4</v>
      </c>
      <c r="D43" s="17">
        <f>가정!$D$6*MIN(1,MAX(0,(A43-가정!$C$28+1)/가정!$C$30))</f>
        <v>0.72916666666666663</v>
      </c>
      <c r="E43" s="17">
        <f>IF(가정!$D$7&lt;30000,1,0)*MIN(1,MAX(0,(A43-가정!$C$29+1)/가정!$C$30))</f>
        <v>0</v>
      </c>
      <c r="F43" s="16">
        <f>IF(가정!$D$7&lt;30000,1,0)*IF(A43&gt;=가정!$C$29,1,0)</f>
        <v>0</v>
      </c>
      <c r="G43" s="17">
        <f>가정!$D$8*MIN(1,MAX(0,(A43-가정!$C$31+1)/가정!$C$32))</f>
        <v>0</v>
      </c>
      <c r="H43" s="18">
        <f>가정!$C$37+D43*가정!$C$14+E43*가정!$C$18</f>
        <v>-3.5416666666666669E-3</v>
      </c>
      <c r="I43" s="17">
        <f t="shared" si="13"/>
        <v>16.888146555232055</v>
      </c>
      <c r="J43" s="17">
        <f>I43*(1+G43*가정!$C$19)</f>
        <v>16.888146555232055</v>
      </c>
      <c r="K43" s="17">
        <f>I43*가정!$C$36*(1+G43*가정!$C$19*가정!$C$24)</f>
        <v>8.4440732776160274</v>
      </c>
      <c r="L43" s="18">
        <f>가정!$C$38+D43*가정!$C$12+E43*가정!$C$17</f>
        <v>0.12485416666666667</v>
      </c>
      <c r="M43" s="18">
        <f>가정!$C$38+가정!$C$23*(L43-가정!$C$38)</f>
        <v>0.12485416666666667</v>
      </c>
      <c r="N43" s="19">
        <f t="shared" si="14"/>
        <v>357.7313583476963</v>
      </c>
      <c r="O43" s="20">
        <f>K43+가정!$C$33*M43+N43*L43</f>
        <v>103.79911558131903</v>
      </c>
      <c r="P43" s="21">
        <f>가정!$C$39*(1+D43*가정!$C$13)</f>
        <v>1.4769791666666665</v>
      </c>
      <c r="Q43" s="21">
        <f>1+F43*가정!$C$15</f>
        <v>1</v>
      </c>
      <c r="R43" s="21">
        <f t="shared" si="8"/>
        <v>1.4769791666666665</v>
      </c>
      <c r="S43" s="20">
        <f t="shared" si="9"/>
        <v>153.30913123203356</v>
      </c>
      <c r="T43" s="19">
        <f>IF(F43=1,가정!$C$16,가정!$C$40)</f>
        <v>31846</v>
      </c>
      <c r="U43" s="20">
        <f t="shared" si="10"/>
        <v>488.2282593215341</v>
      </c>
      <c r="V43" s="20">
        <f>U43/(1-가정!$C$41)*가정!$C$42</f>
        <v>513.92448349635174</v>
      </c>
      <c r="W43" s="19">
        <f>가정!$C$33+N43+K43</f>
        <v>772.17543162531229</v>
      </c>
      <c r="X43" s="19">
        <f t="shared" si="15"/>
        <v>982.17543162531217</v>
      </c>
      <c r="Y43" s="19">
        <f t="shared" si="11"/>
        <v>1754.3508632506246</v>
      </c>
      <c r="Z43" s="20">
        <f t="shared" si="12"/>
        <v>153.30913123203356</v>
      </c>
    </row>
    <row r="44" spans="1:26" x14ac:dyDescent="0.3">
      <c r="A44" s="16">
        <v>41</v>
      </c>
      <c r="B44" s="16">
        <v>2030</v>
      </c>
      <c r="C44" s="16">
        <v>5</v>
      </c>
      <c r="D44" s="17">
        <f>가정!$D$6*MIN(1,MAX(0,(A44-가정!$C$28+1)/가정!$C$30))</f>
        <v>0.75</v>
      </c>
      <c r="E44" s="17">
        <f>IF(가정!$D$7&lt;30000,1,0)*MIN(1,MAX(0,(A44-가정!$C$29+1)/가정!$C$30))</f>
        <v>0</v>
      </c>
      <c r="F44" s="16">
        <f>IF(가정!$D$7&lt;30000,1,0)*IF(A44&gt;=가정!$C$29,1,0)</f>
        <v>0</v>
      </c>
      <c r="G44" s="17">
        <f>가정!$D$8*MIN(1,MAX(0,(A44-가정!$C$31+1)/가정!$C$32))</f>
        <v>0</v>
      </c>
      <c r="H44" s="18">
        <f>가정!$C$37+D44*가정!$C$14+E44*가정!$C$18</f>
        <v>-3.5000000000000001E-3</v>
      </c>
      <c r="I44" s="17">
        <f t="shared" si="13"/>
        <v>16.829038042288744</v>
      </c>
      <c r="J44" s="17">
        <f>I44*(1+G44*가정!$C$19)</f>
        <v>16.829038042288744</v>
      </c>
      <c r="K44" s="17">
        <f>I44*가정!$C$36*(1+G44*가정!$C$19*가정!$C$24)</f>
        <v>8.4145190211443719</v>
      </c>
      <c r="L44" s="18">
        <f>가정!$C$38+D44*가정!$C$12+E44*가정!$C$17</f>
        <v>0.12525</v>
      </c>
      <c r="M44" s="18">
        <f>가정!$C$38+가정!$C$23*(L44-가정!$C$38)</f>
        <v>0.12525</v>
      </c>
      <c r="N44" s="19">
        <f t="shared" si="14"/>
        <v>366.17543162531234</v>
      </c>
      <c r="O44" s="20">
        <f>K44+가정!$C$33*M44+N44*L44</f>
        <v>105.12949183221474</v>
      </c>
      <c r="P44" s="21">
        <f>가정!$C$39*(1+D44*가정!$C$13)</f>
        <v>1.4823499999999998</v>
      </c>
      <c r="Q44" s="21">
        <f>1+F44*가정!$C$15</f>
        <v>1</v>
      </c>
      <c r="R44" s="21">
        <f t="shared" si="8"/>
        <v>1.4823499999999998</v>
      </c>
      <c r="S44" s="20">
        <f t="shared" si="9"/>
        <v>155.8387022174835</v>
      </c>
      <c r="T44" s="19">
        <f>IF(F44=1,가정!$C$16,가정!$C$40)</f>
        <v>31846</v>
      </c>
      <c r="U44" s="20">
        <f t="shared" si="10"/>
        <v>496.2839310817979</v>
      </c>
      <c r="V44" s="20">
        <f>U44/(1-가정!$C$41)*가정!$C$42</f>
        <v>522.40413798083989</v>
      </c>
      <c r="W44" s="19">
        <f>가정!$C$33+N44+K44</f>
        <v>780.5899506464566</v>
      </c>
      <c r="X44" s="19">
        <f t="shared" si="15"/>
        <v>990.5899506464566</v>
      </c>
      <c r="Y44" s="19">
        <f t="shared" si="11"/>
        <v>1771.1799012929132</v>
      </c>
      <c r="Z44" s="20">
        <f t="shared" si="12"/>
        <v>155.8387022174835</v>
      </c>
    </row>
    <row r="45" spans="1:26" x14ac:dyDescent="0.3">
      <c r="A45" s="16">
        <v>42</v>
      </c>
      <c r="B45" s="16">
        <v>2030</v>
      </c>
      <c r="C45" s="16">
        <v>6</v>
      </c>
      <c r="D45" s="17">
        <f>가정!$D$6*MIN(1,MAX(0,(A45-가정!$C$28+1)/가정!$C$30))</f>
        <v>0.77083333333333337</v>
      </c>
      <c r="E45" s="17">
        <f>IF(가정!$D$7&lt;30000,1,0)*MIN(1,MAX(0,(A45-가정!$C$29+1)/가정!$C$30))</f>
        <v>0</v>
      </c>
      <c r="F45" s="16">
        <f>IF(가정!$D$7&lt;30000,1,0)*IF(A45&gt;=가정!$C$29,1,0)</f>
        <v>0</v>
      </c>
      <c r="G45" s="17">
        <f>가정!$D$8*MIN(1,MAX(0,(A45-가정!$C$31+1)/가정!$C$32))</f>
        <v>0</v>
      </c>
      <c r="H45" s="18">
        <f>가정!$C$37+D45*가정!$C$14+E45*가정!$C$18</f>
        <v>-3.4583333333333332E-3</v>
      </c>
      <c r="I45" s="17">
        <f t="shared" si="13"/>
        <v>16.770837619059161</v>
      </c>
      <c r="J45" s="17">
        <f>I45*(1+G45*가정!$C$19)</f>
        <v>16.770837619059161</v>
      </c>
      <c r="K45" s="17">
        <f>I45*가정!$C$36*(1+G45*가정!$C$19*가정!$C$24)</f>
        <v>8.3854188095295807</v>
      </c>
      <c r="L45" s="18">
        <f>가정!$C$38+D45*가정!$C$12+E45*가정!$C$17</f>
        <v>0.12564583333333335</v>
      </c>
      <c r="M45" s="18">
        <f>가정!$C$38+가정!$C$23*(L45-가정!$C$38)</f>
        <v>0.12564583333333335</v>
      </c>
      <c r="N45" s="19">
        <f t="shared" si="14"/>
        <v>374.58995064645671</v>
      </c>
      <c r="O45" s="20">
        <f>K45+가정!$C$33*M45+N45*L45</f>
        <v>106.46329365012919</v>
      </c>
      <c r="P45" s="21">
        <f>가정!$C$39*(1+D45*가정!$C$13)</f>
        <v>1.4877208333333334</v>
      </c>
      <c r="Q45" s="21">
        <f>1+F45*가정!$C$15</f>
        <v>1</v>
      </c>
      <c r="R45" s="21">
        <f t="shared" si="8"/>
        <v>1.4877208333333334</v>
      </c>
      <c r="S45" s="20">
        <f t="shared" si="9"/>
        <v>158.38765994858159</v>
      </c>
      <c r="T45" s="19">
        <f>IF(F45=1,가정!$C$16,가정!$C$40)</f>
        <v>31846</v>
      </c>
      <c r="U45" s="20">
        <f t="shared" si="10"/>
        <v>504.40134187225289</v>
      </c>
      <c r="V45" s="20">
        <f>U45/(1-가정!$C$41)*가정!$C$42</f>
        <v>530.94878091816099</v>
      </c>
      <c r="W45" s="19">
        <f>가정!$C$33+N45+K45</f>
        <v>788.97536945598631</v>
      </c>
      <c r="X45" s="19">
        <f t="shared" si="15"/>
        <v>998.9753694559862</v>
      </c>
      <c r="Y45" s="19">
        <f t="shared" si="11"/>
        <v>1787.9507389119726</v>
      </c>
      <c r="Z45" s="20">
        <f t="shared" si="12"/>
        <v>158.38765994858159</v>
      </c>
    </row>
    <row r="46" spans="1:26" x14ac:dyDescent="0.3">
      <c r="A46" s="16">
        <v>43</v>
      </c>
      <c r="B46" s="16">
        <v>2030</v>
      </c>
      <c r="C46" s="16">
        <v>7</v>
      </c>
      <c r="D46" s="17">
        <f>가정!$D$6*MIN(1,MAX(0,(A46-가정!$C$28+1)/가정!$C$30))</f>
        <v>0.79166666666666663</v>
      </c>
      <c r="E46" s="17">
        <f>IF(가정!$D$7&lt;30000,1,0)*MIN(1,MAX(0,(A46-가정!$C$29+1)/가정!$C$30))</f>
        <v>0</v>
      </c>
      <c r="F46" s="16">
        <f>IF(가정!$D$7&lt;30000,1,0)*IF(A46&gt;=가정!$C$29,1,0)</f>
        <v>0</v>
      </c>
      <c r="G46" s="17">
        <f>가정!$D$8*MIN(1,MAX(0,(A46-가정!$C$31+1)/가정!$C$32))</f>
        <v>0</v>
      </c>
      <c r="H46" s="18">
        <f>가정!$C$37+D46*가정!$C$14+E46*가정!$C$18</f>
        <v>-3.4166666666666668E-3</v>
      </c>
      <c r="I46" s="17">
        <f t="shared" si="13"/>
        <v>16.713537257194044</v>
      </c>
      <c r="J46" s="17">
        <f>I46*(1+G46*가정!$C$19)</f>
        <v>16.713537257194044</v>
      </c>
      <c r="K46" s="17">
        <f>I46*가정!$C$36*(1+G46*가정!$C$19*가정!$C$24)</f>
        <v>8.3567686285970222</v>
      </c>
      <c r="L46" s="18">
        <f>가정!$C$38+D46*가정!$C$12+E46*가정!$C$17</f>
        <v>0.12604166666666666</v>
      </c>
      <c r="M46" s="18">
        <f>가정!$C$38+가정!$C$23*(L46-가정!$C$38)</f>
        <v>0.12604166666666666</v>
      </c>
      <c r="N46" s="19">
        <f t="shared" si="14"/>
        <v>382.97536945598631</v>
      </c>
      <c r="O46" s="20">
        <f>K46+가정!$C$33*M46+N46*L46</f>
        <v>107.80053915377863</v>
      </c>
      <c r="P46" s="21">
        <f>가정!$C$39*(1+D46*가정!$C$13)</f>
        <v>1.4930916666666665</v>
      </c>
      <c r="Q46" s="21">
        <f>1+F46*가정!$C$15</f>
        <v>1</v>
      </c>
      <c r="R46" s="21">
        <f t="shared" si="8"/>
        <v>1.4930916666666665</v>
      </c>
      <c r="S46" s="20">
        <f t="shared" si="9"/>
        <v>160.95608667268058</v>
      </c>
      <c r="T46" s="19">
        <f>IF(F46=1,가정!$C$16,가정!$C$40)</f>
        <v>31846</v>
      </c>
      <c r="U46" s="20">
        <f t="shared" si="10"/>
        <v>512.58075361781857</v>
      </c>
      <c r="V46" s="20">
        <f>U46/(1-가정!$C$41)*가정!$C$42</f>
        <v>539.55868801875647</v>
      </c>
      <c r="W46" s="19">
        <f>가정!$C$33+N46+K46</f>
        <v>797.33213808458333</v>
      </c>
      <c r="X46" s="19">
        <f t="shared" si="15"/>
        <v>1007.3321380845832</v>
      </c>
      <c r="Y46" s="19">
        <f t="shared" si="11"/>
        <v>1804.6642761691664</v>
      </c>
      <c r="Z46" s="20">
        <f t="shared" si="12"/>
        <v>160.95608667268058</v>
      </c>
    </row>
    <row r="47" spans="1:26" x14ac:dyDescent="0.3">
      <c r="A47" s="16">
        <v>44</v>
      </c>
      <c r="B47" s="16">
        <v>2030</v>
      </c>
      <c r="C47" s="16">
        <v>8</v>
      </c>
      <c r="D47" s="17">
        <f>가정!$D$6*MIN(1,MAX(0,(A47-가정!$C$28+1)/가정!$C$30))</f>
        <v>0.8125</v>
      </c>
      <c r="E47" s="17">
        <f>IF(가정!$D$7&lt;30000,1,0)*MIN(1,MAX(0,(A47-가정!$C$29+1)/가정!$C$30))</f>
        <v>0</v>
      </c>
      <c r="F47" s="16">
        <f>IF(가정!$D$7&lt;30000,1,0)*IF(A47&gt;=가정!$C$29,1,0)</f>
        <v>0</v>
      </c>
      <c r="G47" s="17">
        <f>가정!$D$8*MIN(1,MAX(0,(A47-가정!$C$31+1)/가정!$C$32))</f>
        <v>0</v>
      </c>
      <c r="H47" s="18">
        <f>가정!$C$37+D47*가정!$C$14+E47*가정!$C$18</f>
        <v>-3.375E-3</v>
      </c>
      <c r="I47" s="17">
        <f t="shared" si="13"/>
        <v>16.657129068951015</v>
      </c>
      <c r="J47" s="17">
        <f>I47*(1+G47*가정!$C$19)</f>
        <v>16.657129068951015</v>
      </c>
      <c r="K47" s="17">
        <f>I47*가정!$C$36*(1+G47*가정!$C$19*가정!$C$24)</f>
        <v>8.3285645344755075</v>
      </c>
      <c r="L47" s="18">
        <f>가정!$C$38+D47*가정!$C$12+E47*가정!$C$17</f>
        <v>0.12643750000000001</v>
      </c>
      <c r="M47" s="18">
        <f>가정!$C$38+가정!$C$23*(L47-가정!$C$38)</f>
        <v>0.12643750000000001</v>
      </c>
      <c r="N47" s="19">
        <f t="shared" si="14"/>
        <v>391.33213808458333</v>
      </c>
      <c r="O47" s="20">
        <f>K47+가정!$C$33*M47+N47*L47</f>
        <v>109.14124674354503</v>
      </c>
      <c r="P47" s="21">
        <f>가정!$C$39*(1+D47*가정!$C$13)</f>
        <v>1.4984625</v>
      </c>
      <c r="Q47" s="21">
        <f>1+F47*가정!$C$15</f>
        <v>1</v>
      </c>
      <c r="R47" s="21">
        <f t="shared" si="8"/>
        <v>1.4984625</v>
      </c>
      <c r="S47" s="20">
        <f t="shared" si="9"/>
        <v>163.54406544844935</v>
      </c>
      <c r="T47" s="19">
        <f>IF(F47=1,가정!$C$16,가정!$C$40)</f>
        <v>31846</v>
      </c>
      <c r="U47" s="20">
        <f t="shared" si="10"/>
        <v>520.82243082713183</v>
      </c>
      <c r="V47" s="20">
        <f>U47/(1-가정!$C$41)*가정!$C$42</f>
        <v>548.23413771277035</v>
      </c>
      <c r="W47" s="19">
        <f>가정!$C$33+N47+K47</f>
        <v>805.66070261905884</v>
      </c>
      <c r="X47" s="19">
        <f t="shared" si="15"/>
        <v>1015.6607026190587</v>
      </c>
      <c r="Y47" s="19">
        <f t="shared" si="11"/>
        <v>1821.3214052381177</v>
      </c>
      <c r="Z47" s="20">
        <f t="shared" si="12"/>
        <v>163.54406544844935</v>
      </c>
    </row>
    <row r="48" spans="1:26" x14ac:dyDescent="0.3">
      <c r="A48" s="16">
        <v>45</v>
      </c>
      <c r="B48" s="16">
        <v>2030</v>
      </c>
      <c r="C48" s="16">
        <v>9</v>
      </c>
      <c r="D48" s="17">
        <f>가정!$D$6*MIN(1,MAX(0,(A48-가정!$C$28+1)/가정!$C$30))</f>
        <v>0.83333333333333337</v>
      </c>
      <c r="E48" s="17">
        <f>IF(가정!$D$7&lt;30000,1,0)*MIN(1,MAX(0,(A48-가정!$C$29+1)/가정!$C$30))</f>
        <v>0</v>
      </c>
      <c r="F48" s="16">
        <f>IF(가정!$D$7&lt;30000,1,0)*IF(A48&gt;=가정!$C$29,1,0)</f>
        <v>0</v>
      </c>
      <c r="G48" s="17">
        <f>가정!$D$8*MIN(1,MAX(0,(A48-가정!$C$31+1)/가정!$C$32))</f>
        <v>0</v>
      </c>
      <c r="H48" s="18">
        <f>가정!$C$37+D48*가정!$C$14+E48*가정!$C$18</f>
        <v>-3.3333333333333331E-3</v>
      </c>
      <c r="I48" s="17">
        <f t="shared" si="13"/>
        <v>16.601605305387846</v>
      </c>
      <c r="J48" s="17">
        <f>I48*(1+G48*가정!$C$19)</f>
        <v>16.601605305387846</v>
      </c>
      <c r="K48" s="17">
        <f>I48*가정!$C$36*(1+G48*가정!$C$19*가정!$C$24)</f>
        <v>8.3008026526939229</v>
      </c>
      <c r="L48" s="18">
        <f>가정!$C$38+D48*가정!$C$12+E48*가정!$C$17</f>
        <v>0.12683333333333333</v>
      </c>
      <c r="M48" s="18">
        <f>가정!$C$38+가정!$C$23*(L48-가정!$C$38)</f>
        <v>0.12683333333333333</v>
      </c>
      <c r="N48" s="19">
        <f t="shared" si="14"/>
        <v>399.66070261905884</v>
      </c>
      <c r="O48" s="20">
        <f>K48+가정!$C$33*M48+N48*L48</f>
        <v>110.48543510154454</v>
      </c>
      <c r="P48" s="21">
        <f>가정!$C$39*(1+D48*가정!$C$13)</f>
        <v>1.5038333333333334</v>
      </c>
      <c r="Q48" s="21">
        <f>1+F48*가정!$C$15</f>
        <v>1</v>
      </c>
      <c r="R48" s="21">
        <f t="shared" si="8"/>
        <v>1.5038333333333334</v>
      </c>
      <c r="S48" s="20">
        <f t="shared" si="9"/>
        <v>166.15168015353939</v>
      </c>
      <c r="T48" s="19">
        <f>IF(F48=1,가정!$C$16,가정!$C$40)</f>
        <v>31846</v>
      </c>
      <c r="U48" s="20">
        <f t="shared" si="10"/>
        <v>529.12664061696159</v>
      </c>
      <c r="V48" s="20">
        <f>U48/(1-가정!$C$41)*가정!$C$42</f>
        <v>556.97541117574906</v>
      </c>
      <c r="W48" s="19">
        <f>가정!$C$33+N48+K48</f>
        <v>813.9615052717528</v>
      </c>
      <c r="X48" s="19">
        <f t="shared" si="15"/>
        <v>1023.9615052717526</v>
      </c>
      <c r="Y48" s="19">
        <f t="shared" si="11"/>
        <v>1837.9230105435054</v>
      </c>
      <c r="Z48" s="20">
        <f t="shared" si="12"/>
        <v>166.15168015353939</v>
      </c>
    </row>
    <row r="49" spans="1:26" x14ac:dyDescent="0.3">
      <c r="A49" s="16">
        <v>46</v>
      </c>
      <c r="B49" s="16">
        <v>2030</v>
      </c>
      <c r="C49" s="16">
        <v>10</v>
      </c>
      <c r="D49" s="17">
        <f>가정!$D$6*MIN(1,MAX(0,(A49-가정!$C$28+1)/가정!$C$30))</f>
        <v>0.85416666666666663</v>
      </c>
      <c r="E49" s="17">
        <f>IF(가정!$D$7&lt;30000,1,0)*MIN(1,MAX(0,(A49-가정!$C$29+1)/가정!$C$30))</f>
        <v>0</v>
      </c>
      <c r="F49" s="16">
        <f>IF(가정!$D$7&lt;30000,1,0)*IF(A49&gt;=가정!$C$29,1,0)</f>
        <v>0</v>
      </c>
      <c r="G49" s="17">
        <f>가정!$D$8*MIN(1,MAX(0,(A49-가정!$C$31+1)/가정!$C$32))</f>
        <v>0</v>
      </c>
      <c r="H49" s="18">
        <f>가정!$C$37+D49*가정!$C$14+E49*가정!$C$18</f>
        <v>-3.2916666666666667E-3</v>
      </c>
      <c r="I49" s="17">
        <f t="shared" si="13"/>
        <v>16.546958354590945</v>
      </c>
      <c r="J49" s="17">
        <f>I49*(1+G49*가정!$C$19)</f>
        <v>16.546958354590945</v>
      </c>
      <c r="K49" s="17">
        <f>I49*가정!$C$36*(1+G49*가정!$C$19*가정!$C$24)</f>
        <v>8.2734791772954726</v>
      </c>
      <c r="L49" s="18">
        <f>가정!$C$38+D49*가정!$C$12+E49*가정!$C$17</f>
        <v>0.12722916666666667</v>
      </c>
      <c r="M49" s="18">
        <f>가정!$C$38+가정!$C$23*(L49-가정!$C$38)</f>
        <v>0.12722916666666667</v>
      </c>
      <c r="N49" s="19">
        <f t="shared" si="14"/>
        <v>407.96150527175274</v>
      </c>
      <c r="O49" s="20">
        <f>K49+가정!$C$33*M49+N49*L49</f>
        <v>111.83312319176619</v>
      </c>
      <c r="P49" s="21">
        <f>가정!$C$39*(1+D49*가정!$C$13)</f>
        <v>1.5092041666666667</v>
      </c>
      <c r="Q49" s="21">
        <f>1+F49*가정!$C$15</f>
        <v>1</v>
      </c>
      <c r="R49" s="21">
        <f t="shared" si="8"/>
        <v>1.5092041666666667</v>
      </c>
      <c r="S49" s="20">
        <f t="shared" si="9"/>
        <v>168.77901549236017</v>
      </c>
      <c r="T49" s="19">
        <f>IF(F49=1,가정!$C$16,가정!$C$40)</f>
        <v>31846</v>
      </c>
      <c r="U49" s="20">
        <f t="shared" si="10"/>
        <v>537.49365273697026</v>
      </c>
      <c r="V49" s="20">
        <f>U49/(1-가정!$C$41)*가정!$C$42</f>
        <v>565.78279235470552</v>
      </c>
      <c r="W49" s="19">
        <f>가정!$C$33+N49+K49</f>
        <v>822.23498444904817</v>
      </c>
      <c r="X49" s="19">
        <f t="shared" si="15"/>
        <v>1032.2349844490479</v>
      </c>
      <c r="Y49" s="19">
        <f t="shared" si="11"/>
        <v>1854.4699688980961</v>
      </c>
      <c r="Z49" s="20">
        <f t="shared" si="12"/>
        <v>168.77901549236017</v>
      </c>
    </row>
    <row r="50" spans="1:26" x14ac:dyDescent="0.3">
      <c r="A50" s="16">
        <v>47</v>
      </c>
      <c r="B50" s="16">
        <v>2030</v>
      </c>
      <c r="C50" s="16">
        <v>11</v>
      </c>
      <c r="D50" s="17">
        <f>가정!$D$6*MIN(1,MAX(0,(A50-가정!$C$28+1)/가정!$C$30))</f>
        <v>0.875</v>
      </c>
      <c r="E50" s="17">
        <f>IF(가정!$D$7&lt;30000,1,0)*MIN(1,MAX(0,(A50-가정!$C$29+1)/가정!$C$30))</f>
        <v>0</v>
      </c>
      <c r="F50" s="16">
        <f>IF(가정!$D$7&lt;30000,1,0)*IF(A50&gt;=가정!$C$29,1,0)</f>
        <v>0</v>
      </c>
      <c r="G50" s="17">
        <f>가정!$D$8*MIN(1,MAX(0,(A50-가정!$C$31+1)/가정!$C$32))</f>
        <v>0</v>
      </c>
      <c r="H50" s="18">
        <f>가정!$C$37+D50*가정!$C$14+E50*가정!$C$18</f>
        <v>-3.2500000000000003E-3</v>
      </c>
      <c r="I50" s="17">
        <f t="shared" si="13"/>
        <v>16.493180739938524</v>
      </c>
      <c r="J50" s="17">
        <f>I50*(1+G50*가정!$C$19)</f>
        <v>16.493180739938524</v>
      </c>
      <c r="K50" s="17">
        <f>I50*가정!$C$36*(1+G50*가정!$C$19*가정!$C$24)</f>
        <v>8.2465903699692618</v>
      </c>
      <c r="L50" s="18">
        <f>가정!$C$38+D50*가정!$C$12+E50*가정!$C$17</f>
        <v>0.12762499999999999</v>
      </c>
      <c r="M50" s="18">
        <f>가정!$C$38+가정!$C$23*(L50-가정!$C$38)</f>
        <v>0.12762499999999999</v>
      </c>
      <c r="N50" s="19">
        <f t="shared" si="14"/>
        <v>416.23498444904823</v>
      </c>
      <c r="O50" s="20">
        <f>K50+가정!$C$33*M50+N50*L50</f>
        <v>113.18433026027904</v>
      </c>
      <c r="P50" s="21">
        <f>가정!$C$39*(1+D50*가정!$C$13)</f>
        <v>1.514575</v>
      </c>
      <c r="Q50" s="21">
        <f>1+F50*가정!$C$15</f>
        <v>1</v>
      </c>
      <c r="R50" s="21">
        <f t="shared" si="8"/>
        <v>1.514575</v>
      </c>
      <c r="S50" s="20">
        <f t="shared" si="9"/>
        <v>171.42615700396212</v>
      </c>
      <c r="T50" s="19">
        <f>IF(F50=1,가정!$C$16,가정!$C$40)</f>
        <v>31846</v>
      </c>
      <c r="U50" s="20">
        <f t="shared" si="10"/>
        <v>545.92373959481768</v>
      </c>
      <c r="V50" s="20">
        <f>U50/(1-가정!$C$41)*가정!$C$42</f>
        <v>574.65656799454496</v>
      </c>
      <c r="W50" s="19">
        <f>가정!$C$33+N50+K50</f>
        <v>830.4815748190174</v>
      </c>
      <c r="X50" s="19">
        <f t="shared" si="15"/>
        <v>1040.4815748190172</v>
      </c>
      <c r="Y50" s="19">
        <f t="shared" si="11"/>
        <v>1870.9631496380346</v>
      </c>
      <c r="Z50" s="20">
        <f t="shared" si="12"/>
        <v>171.42615700396212</v>
      </c>
    </row>
    <row r="51" spans="1:26" x14ac:dyDescent="0.3">
      <c r="A51" s="22">
        <v>48</v>
      </c>
      <c r="B51" s="22">
        <v>2030</v>
      </c>
      <c r="C51" s="22">
        <v>12</v>
      </c>
      <c r="D51" s="23">
        <f>가정!$D$6*MIN(1,MAX(0,(A51-가정!$C$28+1)/가정!$C$30))</f>
        <v>0.89583333333333337</v>
      </c>
      <c r="E51" s="23">
        <f>IF(가정!$D$7&lt;30000,1,0)*MIN(1,MAX(0,(A51-가정!$C$29+1)/가정!$C$30))</f>
        <v>0</v>
      </c>
      <c r="F51" s="22">
        <f>IF(가정!$D$7&lt;30000,1,0)*IF(A51&gt;=가정!$C$29,1,0)</f>
        <v>0</v>
      </c>
      <c r="G51" s="23">
        <f>가정!$D$8*MIN(1,MAX(0,(A51-가정!$C$31+1)/가정!$C$32))</f>
        <v>0</v>
      </c>
      <c r="H51" s="24">
        <f>가정!$C$37+D51*가정!$C$14+E51*가정!$C$18</f>
        <v>-3.208333333333333E-3</v>
      </c>
      <c r="I51" s="23">
        <f t="shared" si="13"/>
        <v>16.440265118397885</v>
      </c>
      <c r="J51" s="23">
        <f>I51*(1+G51*가정!$C$19)</f>
        <v>16.440265118397885</v>
      </c>
      <c r="K51" s="23">
        <f>I51*가정!$C$36*(1+G51*가정!$C$19*가정!$C$24)</f>
        <v>8.2201325591989427</v>
      </c>
      <c r="L51" s="24">
        <f>가정!$C$38+D51*가정!$C$12+E51*가정!$C$17</f>
        <v>0.12802083333333333</v>
      </c>
      <c r="M51" s="24">
        <f>가정!$C$38+가정!$C$23*(L51-가정!$C$38)</f>
        <v>0.12802083333333333</v>
      </c>
      <c r="N51" s="25">
        <f t="shared" si="14"/>
        <v>424.48157481901751</v>
      </c>
      <c r="O51" s="26">
        <f>K51+가정!$C$33*M51+N51*L51</f>
        <v>114.53907583550858</v>
      </c>
      <c r="P51" s="27">
        <f>가정!$C$39*(1+D51*가정!$C$13)</f>
        <v>1.5199458333333333</v>
      </c>
      <c r="Q51" s="27">
        <f>1+F51*가정!$C$15</f>
        <v>1</v>
      </c>
      <c r="R51" s="27">
        <f t="shared" si="8"/>
        <v>1.5199458333333333</v>
      </c>
      <c r="S51" s="26">
        <f t="shared" si="9"/>
        <v>174.09319107003196</v>
      </c>
      <c r="T51" s="25">
        <f>IF(F51=1,가정!$C$16,가정!$C$40)</f>
        <v>31846</v>
      </c>
      <c r="U51" s="26">
        <f t="shared" si="10"/>
        <v>554.41717628162382</v>
      </c>
      <c r="V51" s="26">
        <f>U51/(1-가정!$C$41)*가정!$C$42</f>
        <v>583.59702766486726</v>
      </c>
      <c r="W51" s="25">
        <f>가정!$C$33+N51+K51</f>
        <v>838.7017073782165</v>
      </c>
      <c r="X51" s="25">
        <f t="shared" si="15"/>
        <v>1048.7017073782163</v>
      </c>
      <c r="Y51" s="25">
        <f t="shared" si="11"/>
        <v>1887.4034147564328</v>
      </c>
      <c r="Z51" s="26">
        <f t="shared" si="12"/>
        <v>174.09319107003196</v>
      </c>
    </row>
    <row r="52" spans="1:26" x14ac:dyDescent="0.3">
      <c r="A52" s="16">
        <v>49</v>
      </c>
      <c r="B52" s="16">
        <v>2031</v>
      </c>
      <c r="C52" s="16">
        <v>1</v>
      </c>
      <c r="D52" s="17">
        <f>가정!$D$6*MIN(1,MAX(0,(A52-가정!$C$28+1)/가정!$C$30))</f>
        <v>0.91666666666666663</v>
      </c>
      <c r="E52" s="17">
        <f>IF(가정!$D$7&lt;30000,1,0)*MIN(1,MAX(0,(A52-가정!$C$29+1)/가정!$C$30))</f>
        <v>0</v>
      </c>
      <c r="F52" s="16">
        <f>IF(가정!$D$7&lt;30000,1,0)*IF(A52&gt;=가정!$C$29,1,0)</f>
        <v>0</v>
      </c>
      <c r="G52" s="17">
        <f>가정!$D$8*MIN(1,MAX(0,(A52-가정!$C$31+1)/가정!$C$32))</f>
        <v>0</v>
      </c>
      <c r="H52" s="18">
        <f>가정!$C$37+D52*가정!$C$14+E52*가정!$C$18</f>
        <v>-3.1666666666666666E-3</v>
      </c>
      <c r="I52" s="17">
        <f t="shared" si="13"/>
        <v>16.388204278856293</v>
      </c>
      <c r="J52" s="17">
        <f>I52*(1+G52*가정!$C$19)</f>
        <v>16.388204278856293</v>
      </c>
      <c r="K52" s="17">
        <f>I52*가정!$C$36*(1+G52*가정!$C$19*가정!$C$24)</f>
        <v>8.1941021394281464</v>
      </c>
      <c r="L52" s="18">
        <f>가정!$C$38+D52*가정!$C$12+E52*가정!$C$17</f>
        <v>0.12841666666666668</v>
      </c>
      <c r="M52" s="18">
        <f>가정!$C$38+가정!$C$23*(L52-가정!$C$38)</f>
        <v>0.12841666666666668</v>
      </c>
      <c r="N52" s="19">
        <f t="shared" si="14"/>
        <v>432.70170737821644</v>
      </c>
      <c r="O52" s="20">
        <f>K52+가정!$C$33*M52+N52*L52</f>
        <v>115.89737972858079</v>
      </c>
      <c r="P52" s="21">
        <f>가정!$C$39*(1+D52*가정!$C$13)</f>
        <v>1.5253166666666667</v>
      </c>
      <c r="Q52" s="21">
        <f>1+F52*가정!$C$15</f>
        <v>1</v>
      </c>
      <c r="R52" s="21">
        <f t="shared" si="8"/>
        <v>1.5253166666666667</v>
      </c>
      <c r="S52" s="20">
        <f t="shared" si="9"/>
        <v>176.78020492299976</v>
      </c>
      <c r="T52" s="19">
        <f>IF(F52=1,가정!$C$16,가정!$C$40)</f>
        <v>31846</v>
      </c>
      <c r="U52" s="20">
        <f t="shared" si="10"/>
        <v>562.97424059778496</v>
      </c>
      <c r="V52" s="20">
        <f>U52/(1-가정!$C$41)*가정!$C$42</f>
        <v>592.60446378714209</v>
      </c>
      <c r="W52" s="19">
        <f>가정!$C$33+N52+K52</f>
        <v>846.89580951764469</v>
      </c>
      <c r="X52" s="19">
        <f t="shared" si="15"/>
        <v>1056.8958095176445</v>
      </c>
      <c r="Y52" s="19">
        <f t="shared" si="11"/>
        <v>1903.7916190352892</v>
      </c>
      <c r="Z52" s="20">
        <f t="shared" si="12"/>
        <v>176.78020492299976</v>
      </c>
    </row>
    <row r="53" spans="1:26" x14ac:dyDescent="0.3">
      <c r="A53" s="16">
        <v>50</v>
      </c>
      <c r="B53" s="16">
        <v>2031</v>
      </c>
      <c r="C53" s="16">
        <v>2</v>
      </c>
      <c r="D53" s="17">
        <f>가정!$D$6*MIN(1,MAX(0,(A53-가정!$C$28+1)/가정!$C$30))</f>
        <v>0.9375</v>
      </c>
      <c r="E53" s="17">
        <f>IF(가정!$D$7&lt;30000,1,0)*MIN(1,MAX(0,(A53-가정!$C$29+1)/가정!$C$30))</f>
        <v>0</v>
      </c>
      <c r="F53" s="16">
        <f>IF(가정!$D$7&lt;30000,1,0)*IF(A53&gt;=가정!$C$29,1,0)</f>
        <v>0</v>
      </c>
      <c r="G53" s="17">
        <f>가정!$D$8*MIN(1,MAX(0,(A53-가정!$C$31+1)/가정!$C$32))</f>
        <v>0</v>
      </c>
      <c r="H53" s="18">
        <f>가정!$C$37+D53*가정!$C$14+E53*가정!$C$18</f>
        <v>-3.1250000000000002E-3</v>
      </c>
      <c r="I53" s="17">
        <f t="shared" si="13"/>
        <v>16.336991140484866</v>
      </c>
      <c r="J53" s="17">
        <f>I53*(1+G53*가정!$C$19)</f>
        <v>16.336991140484866</v>
      </c>
      <c r="K53" s="17">
        <f>I53*가정!$C$36*(1+G53*가정!$C$19*가정!$C$24)</f>
        <v>8.1684955702424329</v>
      </c>
      <c r="L53" s="18">
        <f>가정!$C$38+D53*가정!$C$12+E53*가정!$C$17</f>
        <v>0.1288125</v>
      </c>
      <c r="M53" s="18">
        <f>가정!$C$38+가정!$C$23*(L53-가정!$C$38)</f>
        <v>0.1288125</v>
      </c>
      <c r="N53" s="19">
        <f t="shared" si="14"/>
        <v>440.89580951764458</v>
      </c>
      <c r="O53" s="20">
        <f>K53+가정!$C$33*M53+N53*L53</f>
        <v>117.25926203373402</v>
      </c>
      <c r="P53" s="21">
        <f>가정!$C$39*(1+D53*가정!$C$13)</f>
        <v>1.5306875</v>
      </c>
      <c r="Q53" s="21">
        <f>1+F53*가정!$C$15</f>
        <v>1</v>
      </c>
      <c r="R53" s="21">
        <f t="shared" si="8"/>
        <v>1.5306875</v>
      </c>
      <c r="S53" s="20">
        <f t="shared" si="9"/>
        <v>179.48728665426123</v>
      </c>
      <c r="T53" s="19">
        <f>IF(F53=1,가정!$C$16,가정!$C$40)</f>
        <v>31846</v>
      </c>
      <c r="U53" s="20">
        <f t="shared" si="10"/>
        <v>571.59521307916032</v>
      </c>
      <c r="V53" s="20">
        <f>U53/(1-가정!$C$41)*가정!$C$42</f>
        <v>601.67917166227403</v>
      </c>
      <c r="W53" s="19">
        <f>가정!$C$33+N53+K53</f>
        <v>855.06430508788696</v>
      </c>
      <c r="X53" s="19">
        <f t="shared" si="15"/>
        <v>1065.0643050878869</v>
      </c>
      <c r="Y53" s="19">
        <f t="shared" si="11"/>
        <v>1920.1286101757737</v>
      </c>
      <c r="Z53" s="20">
        <f t="shared" si="12"/>
        <v>179.48728665426123</v>
      </c>
    </row>
    <row r="54" spans="1:26" x14ac:dyDescent="0.3">
      <c r="A54" s="16">
        <v>51</v>
      </c>
      <c r="B54" s="16">
        <v>2031</v>
      </c>
      <c r="C54" s="16">
        <v>3</v>
      </c>
      <c r="D54" s="17">
        <f>가정!$D$6*MIN(1,MAX(0,(A54-가정!$C$28+1)/가정!$C$30))</f>
        <v>0.95833333333333337</v>
      </c>
      <c r="E54" s="17">
        <f>IF(가정!$D$7&lt;30000,1,0)*MIN(1,MAX(0,(A54-가정!$C$29+1)/가정!$C$30))</f>
        <v>0</v>
      </c>
      <c r="F54" s="16">
        <f>IF(가정!$D$7&lt;30000,1,0)*IF(A54&gt;=가정!$C$29,1,0)</f>
        <v>0</v>
      </c>
      <c r="G54" s="17">
        <f>가정!$D$8*MIN(1,MAX(0,(A54-가정!$C$31+1)/가정!$C$32))</f>
        <v>0</v>
      </c>
      <c r="H54" s="18">
        <f>가정!$C$37+D54*가정!$C$14+E54*가정!$C$18</f>
        <v>-3.0833333333333333E-3</v>
      </c>
      <c r="I54" s="17">
        <f t="shared" si="13"/>
        <v>16.286618751135038</v>
      </c>
      <c r="J54" s="17">
        <f>I54*(1+G54*가정!$C$19)</f>
        <v>16.286618751135038</v>
      </c>
      <c r="K54" s="17">
        <f>I54*가정!$C$36*(1+G54*가정!$C$19*가정!$C$24)</f>
        <v>8.1433093755675188</v>
      </c>
      <c r="L54" s="18">
        <f>가정!$C$38+D54*가정!$C$12+E54*가정!$C$17</f>
        <v>0.12920833333333334</v>
      </c>
      <c r="M54" s="18">
        <f>가정!$C$38+가정!$C$23*(L54-가정!$C$38)</f>
        <v>0.12920833333333334</v>
      </c>
      <c r="N54" s="19">
        <f t="shared" si="14"/>
        <v>449.06430508788702</v>
      </c>
      <c r="O54" s="20">
        <f>K54+가정!$C$33*M54+N54*L54</f>
        <v>118.62474312879826</v>
      </c>
      <c r="P54" s="21">
        <f>가정!$C$39*(1+D54*가정!$C$13)</f>
        <v>1.5360583333333333</v>
      </c>
      <c r="Q54" s="21">
        <f>1+F54*가정!$C$15</f>
        <v>1</v>
      </c>
      <c r="R54" s="21">
        <f t="shared" si="8"/>
        <v>1.5360583333333333</v>
      </c>
      <c r="S54" s="20">
        <f t="shared" si="9"/>
        <v>182.21452522251664</v>
      </c>
      <c r="T54" s="19">
        <f>IF(F54=1,가정!$C$16,가정!$C$40)</f>
        <v>31846</v>
      </c>
      <c r="U54" s="20">
        <f t="shared" si="10"/>
        <v>580.28037702362644</v>
      </c>
      <c r="V54" s="20">
        <f>U54/(1-가정!$C$41)*가정!$C$42</f>
        <v>610.82144949855422</v>
      </c>
      <c r="W54" s="19">
        <f>가정!$C$33+N54+K54</f>
        <v>863.20761446345455</v>
      </c>
      <c r="X54" s="19">
        <f t="shared" si="15"/>
        <v>1073.2076144634543</v>
      </c>
      <c r="Y54" s="19">
        <f t="shared" si="11"/>
        <v>1936.4152289269089</v>
      </c>
      <c r="Z54" s="20">
        <f t="shared" si="12"/>
        <v>182.21452522251664</v>
      </c>
    </row>
    <row r="55" spans="1:26" x14ac:dyDescent="0.3">
      <c r="A55" s="16">
        <v>52</v>
      </c>
      <c r="B55" s="16">
        <v>2031</v>
      </c>
      <c r="C55" s="16">
        <v>4</v>
      </c>
      <c r="D55" s="17">
        <f>가정!$D$6*MIN(1,MAX(0,(A55-가정!$C$28+1)/가정!$C$30))</f>
        <v>0.97916666666666663</v>
      </c>
      <c r="E55" s="17">
        <f>IF(가정!$D$7&lt;30000,1,0)*MIN(1,MAX(0,(A55-가정!$C$29+1)/가정!$C$30))</f>
        <v>0</v>
      </c>
      <c r="F55" s="16">
        <f>IF(가정!$D$7&lt;30000,1,0)*IF(A55&gt;=가정!$C$29,1,0)</f>
        <v>0</v>
      </c>
      <c r="G55" s="17">
        <f>가정!$D$8*MIN(1,MAX(0,(A55-가정!$C$31+1)/가정!$C$32))</f>
        <v>0</v>
      </c>
      <c r="H55" s="18">
        <f>가정!$C$37+D55*가정!$C$14+E55*가정!$C$18</f>
        <v>-3.0416666666666669E-3</v>
      </c>
      <c r="I55" s="17">
        <f t="shared" si="13"/>
        <v>16.237080285767</v>
      </c>
      <c r="J55" s="17">
        <f>I55*(1+G55*가정!$C$19)</f>
        <v>16.237080285767</v>
      </c>
      <c r="K55" s="17">
        <f>I55*가정!$C$36*(1+G55*가정!$C$19*가정!$C$24)</f>
        <v>8.1185401428835</v>
      </c>
      <c r="L55" s="18">
        <f>가정!$C$38+D55*가정!$C$12+E55*가정!$C$17</f>
        <v>0.12960416666666666</v>
      </c>
      <c r="M55" s="18">
        <f>가정!$C$38+가정!$C$23*(L55-가정!$C$38)</f>
        <v>0.12960416666666666</v>
      </c>
      <c r="N55" s="19">
        <f t="shared" si="14"/>
        <v>457.20761446345455</v>
      </c>
      <c r="O55" s="20">
        <f>K55+가정!$C$33*M55+N55*L55</f>
        <v>119.99384367574081</v>
      </c>
      <c r="P55" s="21">
        <f>가정!$C$39*(1+D55*가정!$C$13)</f>
        <v>1.5414291666666666</v>
      </c>
      <c r="Q55" s="21">
        <f>1+F55*가정!$C$15</f>
        <v>1</v>
      </c>
      <c r="R55" s="21">
        <f t="shared" si="8"/>
        <v>1.5414291666666666</v>
      </c>
      <c r="S55" s="20">
        <f t="shared" si="9"/>
        <v>184.96201046222743</v>
      </c>
      <c r="T55" s="19">
        <f>IF(F55=1,가정!$C$16,가정!$C$40)</f>
        <v>31846</v>
      </c>
      <c r="U55" s="20">
        <f t="shared" si="10"/>
        <v>589.03001851800946</v>
      </c>
      <c r="V55" s="20">
        <f>U55/(1-가정!$C$41)*가정!$C$42</f>
        <v>620.03159844000993</v>
      </c>
      <c r="W55" s="19">
        <f>가정!$C$33+N55+K55</f>
        <v>871.32615460633804</v>
      </c>
      <c r="X55" s="19">
        <f t="shared" si="15"/>
        <v>1081.3261546063377</v>
      </c>
      <c r="Y55" s="19">
        <f t="shared" si="11"/>
        <v>1952.6523092126758</v>
      </c>
      <c r="Z55" s="20">
        <f t="shared" si="12"/>
        <v>184.96201046222743</v>
      </c>
    </row>
    <row r="56" spans="1:26" x14ac:dyDescent="0.3">
      <c r="A56" s="16">
        <v>53</v>
      </c>
      <c r="B56" s="16">
        <v>2031</v>
      </c>
      <c r="C56" s="16">
        <v>5</v>
      </c>
      <c r="D56" s="17">
        <f>가정!$D$6*MIN(1,MAX(0,(A56-가정!$C$28+1)/가정!$C$30))</f>
        <v>1</v>
      </c>
      <c r="E56" s="17">
        <f>IF(가정!$D$7&lt;30000,1,0)*MIN(1,MAX(0,(A56-가정!$C$29+1)/가정!$C$30))</f>
        <v>0</v>
      </c>
      <c r="F56" s="16">
        <f>IF(가정!$D$7&lt;30000,1,0)*IF(A56&gt;=가정!$C$29,1,0)</f>
        <v>0</v>
      </c>
      <c r="G56" s="17">
        <f>가정!$D$8*MIN(1,MAX(0,(A56-가정!$C$31+1)/가정!$C$32))</f>
        <v>0</v>
      </c>
      <c r="H56" s="18">
        <f>가정!$C$37+D56*가정!$C$14+E56*가정!$C$18</f>
        <v>-3.0000000000000001E-3</v>
      </c>
      <c r="I56" s="17">
        <f t="shared" si="13"/>
        <v>16.188369044909699</v>
      </c>
      <c r="J56" s="17">
        <f>I56*(1+G56*가정!$C$19)</f>
        <v>16.188369044909699</v>
      </c>
      <c r="K56" s="17">
        <f>I56*가정!$C$36*(1+G56*가정!$C$19*가정!$C$24)</f>
        <v>8.0941845224548494</v>
      </c>
      <c r="L56" s="18">
        <f>가정!$C$38+D56*가정!$C$12+E56*가정!$C$17</f>
        <v>0.13</v>
      </c>
      <c r="M56" s="18">
        <f>가정!$C$38+가정!$C$23*(L56-가정!$C$38)</f>
        <v>0.13</v>
      </c>
      <c r="N56" s="19">
        <f t="shared" si="14"/>
        <v>465.32615460633804</v>
      </c>
      <c r="O56" s="20">
        <f>K56+가정!$C$33*M56+N56*L56</f>
        <v>121.3665846212788</v>
      </c>
      <c r="P56" s="21">
        <f>가정!$C$39*(1+D56*가정!$C$13)</f>
        <v>1.5468</v>
      </c>
      <c r="Q56" s="21">
        <f>1+F56*가정!$C$15</f>
        <v>1</v>
      </c>
      <c r="R56" s="21">
        <f t="shared" si="8"/>
        <v>1.5468</v>
      </c>
      <c r="S56" s="20">
        <f t="shared" si="9"/>
        <v>187.72983309219404</v>
      </c>
      <c r="T56" s="19">
        <f>IF(F56=1,가정!$C$16,가정!$C$40)</f>
        <v>31846</v>
      </c>
      <c r="U56" s="20">
        <f t="shared" si="10"/>
        <v>597.84442646540117</v>
      </c>
      <c r="V56" s="20">
        <f>U56/(1-가정!$C$41)*가정!$C$42</f>
        <v>629.30992259515915</v>
      </c>
      <c r="W56" s="19">
        <f>가정!$C$33+N56+K56</f>
        <v>879.42033912879288</v>
      </c>
      <c r="X56" s="19">
        <f t="shared" si="15"/>
        <v>1089.4203391287924</v>
      </c>
      <c r="Y56" s="19">
        <f t="shared" si="11"/>
        <v>1968.8406782575853</v>
      </c>
      <c r="Z56" s="20">
        <f t="shared" si="12"/>
        <v>187.72983309219404</v>
      </c>
    </row>
    <row r="57" spans="1:26" x14ac:dyDescent="0.3">
      <c r="A57" s="16">
        <v>54</v>
      </c>
      <c r="B57" s="16">
        <v>2031</v>
      </c>
      <c r="C57" s="16">
        <v>6</v>
      </c>
      <c r="D57" s="17">
        <f>가정!$D$6*MIN(1,MAX(0,(A57-가정!$C$28+1)/가정!$C$30))</f>
        <v>1</v>
      </c>
      <c r="E57" s="17">
        <f>IF(가정!$D$7&lt;30000,1,0)*MIN(1,MAX(0,(A57-가정!$C$29+1)/가정!$C$30))</f>
        <v>0</v>
      </c>
      <c r="F57" s="16">
        <f>IF(가정!$D$7&lt;30000,1,0)*IF(A57&gt;=가정!$C$29,1,0)</f>
        <v>0</v>
      </c>
      <c r="G57" s="17">
        <f>가정!$D$8*MIN(1,MAX(0,(A57-가정!$C$31+1)/가정!$C$32))</f>
        <v>0</v>
      </c>
      <c r="H57" s="18">
        <f>가정!$C$37+D57*가정!$C$14+E57*가정!$C$18</f>
        <v>-3.0000000000000001E-3</v>
      </c>
      <c r="I57" s="17">
        <f t="shared" si="13"/>
        <v>16.139803937774971</v>
      </c>
      <c r="J57" s="17">
        <f>I57*(1+G57*가정!$C$19)</f>
        <v>16.139803937774971</v>
      </c>
      <c r="K57" s="17">
        <f>I57*가정!$C$36*(1+G57*가정!$C$19*가정!$C$24)</f>
        <v>8.0699019688874856</v>
      </c>
      <c r="L57" s="18">
        <f>가정!$C$38+D57*가정!$C$12+E57*가정!$C$17</f>
        <v>0.13</v>
      </c>
      <c r="M57" s="18">
        <f>가정!$C$38+가정!$C$23*(L57-가정!$C$38)</f>
        <v>0.13</v>
      </c>
      <c r="N57" s="19">
        <f t="shared" si="14"/>
        <v>473.42033912879288</v>
      </c>
      <c r="O57" s="20">
        <f>K57+가정!$C$33*M57+N57*L57</f>
        <v>122.39454605563057</v>
      </c>
      <c r="P57" s="21">
        <f>가정!$C$39*(1+D57*가정!$C$13)</f>
        <v>1.5468</v>
      </c>
      <c r="Q57" s="21">
        <f>1+F57*가정!$C$15</f>
        <v>1</v>
      </c>
      <c r="R57" s="21">
        <f t="shared" si="8"/>
        <v>1.5468</v>
      </c>
      <c r="S57" s="20">
        <f t="shared" si="9"/>
        <v>189.31988383884936</v>
      </c>
      <c r="T57" s="19">
        <f>IF(F57=1,가정!$C$16,가정!$C$40)</f>
        <v>31846</v>
      </c>
      <c r="U57" s="20">
        <f t="shared" si="10"/>
        <v>602.90810207319964</v>
      </c>
      <c r="V57" s="20">
        <f>U57/(1-가정!$C$41)*가정!$C$42</f>
        <v>634.64010744547329</v>
      </c>
      <c r="W57" s="19">
        <f>가정!$C$33+N57+K57</f>
        <v>887.49024109768038</v>
      </c>
      <c r="X57" s="19">
        <f t="shared" si="15"/>
        <v>1097.4902410976799</v>
      </c>
      <c r="Y57" s="19">
        <f t="shared" si="11"/>
        <v>1984.9804821953603</v>
      </c>
      <c r="Z57" s="20">
        <f t="shared" si="12"/>
        <v>189.31988383884936</v>
      </c>
    </row>
    <row r="58" spans="1:26" x14ac:dyDescent="0.3">
      <c r="A58" s="16">
        <v>55</v>
      </c>
      <c r="B58" s="16">
        <v>2031</v>
      </c>
      <c r="C58" s="16">
        <v>7</v>
      </c>
      <c r="D58" s="17">
        <f>가정!$D$6*MIN(1,MAX(0,(A58-가정!$C$28+1)/가정!$C$30))</f>
        <v>1</v>
      </c>
      <c r="E58" s="17">
        <f>IF(가정!$D$7&lt;30000,1,0)*MIN(1,MAX(0,(A58-가정!$C$29+1)/가정!$C$30))</f>
        <v>0</v>
      </c>
      <c r="F58" s="16">
        <f>IF(가정!$D$7&lt;30000,1,0)*IF(A58&gt;=가정!$C$29,1,0)</f>
        <v>0</v>
      </c>
      <c r="G58" s="17">
        <f>가정!$D$8*MIN(1,MAX(0,(A58-가정!$C$31+1)/가정!$C$32))</f>
        <v>0</v>
      </c>
      <c r="H58" s="18">
        <f>가정!$C$37+D58*가정!$C$14+E58*가정!$C$18</f>
        <v>-3.0000000000000001E-3</v>
      </c>
      <c r="I58" s="17">
        <f t="shared" si="13"/>
        <v>16.091384525961647</v>
      </c>
      <c r="J58" s="17">
        <f>I58*(1+G58*가정!$C$19)</f>
        <v>16.091384525961647</v>
      </c>
      <c r="K58" s="17">
        <f>I58*가정!$C$36*(1+G58*가정!$C$19*가정!$C$24)</f>
        <v>8.0456922629808236</v>
      </c>
      <c r="L58" s="18">
        <f>가정!$C$38+D58*가정!$C$12+E58*가정!$C$17</f>
        <v>0.13</v>
      </c>
      <c r="M58" s="18">
        <f>가정!$C$38+가정!$C$23*(L58-가정!$C$38)</f>
        <v>0.13</v>
      </c>
      <c r="N58" s="19">
        <f t="shared" si="14"/>
        <v>481.49024109768038</v>
      </c>
      <c r="O58" s="20">
        <f>K58+가정!$C$33*M58+N58*L58</f>
        <v>123.41942360567927</v>
      </c>
      <c r="P58" s="21">
        <f>가정!$C$39*(1+D58*가정!$C$13)</f>
        <v>1.5468</v>
      </c>
      <c r="Q58" s="21">
        <f>1+F58*가정!$C$15</f>
        <v>1</v>
      </c>
      <c r="R58" s="21">
        <f t="shared" si="8"/>
        <v>1.5468</v>
      </c>
      <c r="S58" s="20">
        <f t="shared" si="9"/>
        <v>190.9051644332647</v>
      </c>
      <c r="T58" s="19">
        <f>IF(F58=1,가정!$C$16,가정!$C$40)</f>
        <v>31846</v>
      </c>
      <c r="U58" s="20">
        <f t="shared" si="10"/>
        <v>607.95658665417477</v>
      </c>
      <c r="V58" s="20">
        <f>U58/(1-가정!$C$41)*가정!$C$42</f>
        <v>639.95430174123658</v>
      </c>
      <c r="W58" s="19">
        <f>가정!$C$33+N58+K58</f>
        <v>895.53593336066126</v>
      </c>
      <c r="X58" s="19">
        <f t="shared" si="15"/>
        <v>1105.5359333606609</v>
      </c>
      <c r="Y58" s="19">
        <f t="shared" si="11"/>
        <v>2001.0718667213223</v>
      </c>
      <c r="Z58" s="20">
        <f t="shared" si="12"/>
        <v>190.9051644332647</v>
      </c>
    </row>
    <row r="59" spans="1:26" x14ac:dyDescent="0.3">
      <c r="A59" s="16">
        <v>56</v>
      </c>
      <c r="B59" s="16">
        <v>2031</v>
      </c>
      <c r="C59" s="16">
        <v>8</v>
      </c>
      <c r="D59" s="17">
        <f>가정!$D$6*MIN(1,MAX(0,(A59-가정!$C$28+1)/가정!$C$30))</f>
        <v>1</v>
      </c>
      <c r="E59" s="17">
        <f>IF(가정!$D$7&lt;30000,1,0)*MIN(1,MAX(0,(A59-가정!$C$29+1)/가정!$C$30))</f>
        <v>0</v>
      </c>
      <c r="F59" s="16">
        <f>IF(가정!$D$7&lt;30000,1,0)*IF(A59&gt;=가정!$C$29,1,0)</f>
        <v>0</v>
      </c>
      <c r="G59" s="17">
        <f>가정!$D$8*MIN(1,MAX(0,(A59-가정!$C$31+1)/가정!$C$32))</f>
        <v>0</v>
      </c>
      <c r="H59" s="18">
        <f>가정!$C$37+D59*가정!$C$14+E59*가정!$C$18</f>
        <v>-3.0000000000000001E-3</v>
      </c>
      <c r="I59" s="17">
        <f t="shared" si="13"/>
        <v>16.043110372383762</v>
      </c>
      <c r="J59" s="17">
        <f>I59*(1+G59*가정!$C$19)</f>
        <v>16.043110372383762</v>
      </c>
      <c r="K59" s="17">
        <f>I59*가정!$C$36*(1+G59*가정!$C$19*가정!$C$24)</f>
        <v>8.0215551861918808</v>
      </c>
      <c r="L59" s="18">
        <f>가정!$C$38+D59*가정!$C$12+E59*가정!$C$17</f>
        <v>0.13</v>
      </c>
      <c r="M59" s="18">
        <f>가정!$C$38+가정!$C$23*(L59-가정!$C$38)</f>
        <v>0.13</v>
      </c>
      <c r="N59" s="19">
        <f t="shared" si="14"/>
        <v>489.5359333606612</v>
      </c>
      <c r="O59" s="20">
        <f>K59+가정!$C$33*M59+N59*L59</f>
        <v>124.44122652307784</v>
      </c>
      <c r="P59" s="21">
        <f>가정!$C$39*(1+D59*가정!$C$13)</f>
        <v>1.5468</v>
      </c>
      <c r="Q59" s="21">
        <f>1+F59*가정!$C$15</f>
        <v>1</v>
      </c>
      <c r="R59" s="21">
        <f t="shared" si="8"/>
        <v>1.5468</v>
      </c>
      <c r="S59" s="20">
        <f t="shared" si="9"/>
        <v>192.4856891858968</v>
      </c>
      <c r="T59" s="19">
        <f>IF(F59=1,가정!$C$16,가정!$C$40)</f>
        <v>31846</v>
      </c>
      <c r="U59" s="20">
        <f t="shared" si="10"/>
        <v>612.9899257814069</v>
      </c>
      <c r="V59" s="20">
        <f>U59/(1-가정!$C$41)*가정!$C$42</f>
        <v>645.25255345411256</v>
      </c>
      <c r="W59" s="19">
        <f>가정!$C$33+N59+K59</f>
        <v>903.55748854685305</v>
      </c>
      <c r="X59" s="19">
        <f t="shared" si="15"/>
        <v>1113.5574885468529</v>
      </c>
      <c r="Y59" s="19">
        <f t="shared" si="11"/>
        <v>2017.1149770937059</v>
      </c>
      <c r="Z59" s="20">
        <f t="shared" si="12"/>
        <v>192.4856891858968</v>
      </c>
    </row>
    <row r="60" spans="1:26" x14ac:dyDescent="0.3">
      <c r="A60" s="16">
        <v>57</v>
      </c>
      <c r="B60" s="16">
        <v>2031</v>
      </c>
      <c r="C60" s="16">
        <v>9</v>
      </c>
      <c r="D60" s="17">
        <f>가정!$D$6*MIN(1,MAX(0,(A60-가정!$C$28+1)/가정!$C$30))</f>
        <v>1</v>
      </c>
      <c r="E60" s="17">
        <f>IF(가정!$D$7&lt;30000,1,0)*MIN(1,MAX(0,(A60-가정!$C$29+1)/가정!$C$30))</f>
        <v>0</v>
      </c>
      <c r="F60" s="16">
        <f>IF(가정!$D$7&lt;30000,1,0)*IF(A60&gt;=가정!$C$29,1,0)</f>
        <v>0</v>
      </c>
      <c r="G60" s="17">
        <f>가정!$D$8*MIN(1,MAX(0,(A60-가정!$C$31+1)/가정!$C$32))</f>
        <v>0</v>
      </c>
      <c r="H60" s="18">
        <f>가정!$C$37+D60*가정!$C$14+E60*가정!$C$18</f>
        <v>-3.0000000000000001E-3</v>
      </c>
      <c r="I60" s="17">
        <f t="shared" si="13"/>
        <v>15.994981041266611</v>
      </c>
      <c r="J60" s="17">
        <f>I60*(1+G60*가정!$C$19)</f>
        <v>15.994981041266611</v>
      </c>
      <c r="K60" s="17">
        <f>I60*가정!$C$36*(1+G60*가정!$C$19*가정!$C$24)</f>
        <v>7.9974905206333053</v>
      </c>
      <c r="L60" s="18">
        <f>가정!$C$38+D60*가정!$C$12+E60*가정!$C$17</f>
        <v>0.13</v>
      </c>
      <c r="M60" s="18">
        <f>가정!$C$38+가정!$C$23*(L60-가정!$C$38)</f>
        <v>0.13</v>
      </c>
      <c r="N60" s="19">
        <f t="shared" si="14"/>
        <v>497.55748854685311</v>
      </c>
      <c r="O60" s="20">
        <f>K60+가정!$C$33*M60+N60*L60</f>
        <v>125.45996403172421</v>
      </c>
      <c r="P60" s="21">
        <f>가정!$C$39*(1+D60*가정!$C$13)</f>
        <v>1.5468</v>
      </c>
      <c r="Q60" s="21">
        <f>1+F60*가정!$C$15</f>
        <v>1</v>
      </c>
      <c r="R60" s="21">
        <f t="shared" si="8"/>
        <v>1.5468</v>
      </c>
      <c r="S60" s="20">
        <f t="shared" si="9"/>
        <v>194.061472364271</v>
      </c>
      <c r="T60" s="19">
        <f>IF(F60=1,가정!$C$16,가정!$C$40)</f>
        <v>31846</v>
      </c>
      <c r="U60" s="20">
        <f t="shared" si="10"/>
        <v>618.00816489125737</v>
      </c>
      <c r="V60" s="20">
        <f>U60/(1-가정!$C$41)*가정!$C$42</f>
        <v>650.53491041184986</v>
      </c>
      <c r="W60" s="19">
        <f>가정!$C$33+N60+K60</f>
        <v>911.55497906748644</v>
      </c>
      <c r="X60" s="19">
        <f t="shared" si="15"/>
        <v>1121.5549790674861</v>
      </c>
      <c r="Y60" s="19">
        <f t="shared" si="11"/>
        <v>2033.1099581349727</v>
      </c>
      <c r="Z60" s="20">
        <f t="shared" si="12"/>
        <v>194.061472364271</v>
      </c>
    </row>
    <row r="61" spans="1:26" x14ac:dyDescent="0.3">
      <c r="A61" s="16">
        <v>58</v>
      </c>
      <c r="B61" s="16">
        <v>2031</v>
      </c>
      <c r="C61" s="16">
        <v>10</v>
      </c>
      <c r="D61" s="17">
        <f>가정!$D$6*MIN(1,MAX(0,(A61-가정!$C$28+1)/가정!$C$30))</f>
        <v>1</v>
      </c>
      <c r="E61" s="17">
        <f>IF(가정!$D$7&lt;30000,1,0)*MIN(1,MAX(0,(A61-가정!$C$29+1)/가정!$C$30))</f>
        <v>0</v>
      </c>
      <c r="F61" s="16">
        <f>IF(가정!$D$7&lt;30000,1,0)*IF(A61&gt;=가정!$C$29,1,0)</f>
        <v>0</v>
      </c>
      <c r="G61" s="17">
        <f>가정!$D$8*MIN(1,MAX(0,(A61-가정!$C$31+1)/가정!$C$32))</f>
        <v>0</v>
      </c>
      <c r="H61" s="18">
        <f>가정!$C$37+D61*가정!$C$14+E61*가정!$C$18</f>
        <v>-3.0000000000000001E-3</v>
      </c>
      <c r="I61" s="17">
        <f t="shared" si="13"/>
        <v>15.946996098142812</v>
      </c>
      <c r="J61" s="17">
        <f>I61*(1+G61*가정!$C$19)</f>
        <v>15.946996098142812</v>
      </c>
      <c r="K61" s="17">
        <f>I61*가정!$C$36*(1+G61*가정!$C$19*가정!$C$24)</f>
        <v>7.9734980490714058</v>
      </c>
      <c r="L61" s="18">
        <f>가정!$C$38+D61*가정!$C$12+E61*가정!$C$17</f>
        <v>0.13</v>
      </c>
      <c r="M61" s="18">
        <f>가정!$C$38+가정!$C$23*(L61-가정!$C$38)</f>
        <v>0.13</v>
      </c>
      <c r="N61" s="19">
        <f t="shared" si="14"/>
        <v>505.55497906748639</v>
      </c>
      <c r="O61" s="20">
        <f>K61+가정!$C$33*M61+N61*L61</f>
        <v>126.47564532784465</v>
      </c>
      <c r="P61" s="21">
        <f>가정!$C$39*(1+D61*가정!$C$13)</f>
        <v>1.5468</v>
      </c>
      <c r="Q61" s="21">
        <f>1+F61*가정!$C$15</f>
        <v>1</v>
      </c>
      <c r="R61" s="21">
        <f t="shared" si="8"/>
        <v>1.5468</v>
      </c>
      <c r="S61" s="20">
        <f t="shared" si="9"/>
        <v>195.63252819311009</v>
      </c>
      <c r="T61" s="19">
        <f>IF(F61=1,가정!$C$16,가정!$C$40)</f>
        <v>31846</v>
      </c>
      <c r="U61" s="20">
        <f t="shared" si="10"/>
        <v>623.01134928377837</v>
      </c>
      <c r="V61" s="20">
        <f>U61/(1-가정!$C$41)*가정!$C$42</f>
        <v>655.80142029871411</v>
      </c>
      <c r="W61" s="19">
        <f>가정!$C$33+N61+K61</f>
        <v>919.52847711655772</v>
      </c>
      <c r="X61" s="19">
        <f t="shared" si="15"/>
        <v>1129.5284771165575</v>
      </c>
      <c r="Y61" s="19">
        <f t="shared" si="11"/>
        <v>2049.056954233115</v>
      </c>
      <c r="Z61" s="20">
        <f t="shared" si="12"/>
        <v>195.63252819311009</v>
      </c>
    </row>
    <row r="62" spans="1:26" x14ac:dyDescent="0.3">
      <c r="A62" s="16">
        <v>59</v>
      </c>
      <c r="B62" s="16">
        <v>2031</v>
      </c>
      <c r="C62" s="16">
        <v>11</v>
      </c>
      <c r="D62" s="17">
        <f>가정!$D$6*MIN(1,MAX(0,(A62-가정!$C$28+1)/가정!$C$30))</f>
        <v>1</v>
      </c>
      <c r="E62" s="17">
        <f>IF(가정!$D$7&lt;30000,1,0)*MIN(1,MAX(0,(A62-가정!$C$29+1)/가정!$C$30))</f>
        <v>0</v>
      </c>
      <c r="F62" s="16">
        <f>IF(가정!$D$7&lt;30000,1,0)*IF(A62&gt;=가정!$C$29,1,0)</f>
        <v>0</v>
      </c>
      <c r="G62" s="17">
        <f>가정!$D$8*MIN(1,MAX(0,(A62-가정!$C$31+1)/가정!$C$32))</f>
        <v>0</v>
      </c>
      <c r="H62" s="18">
        <f>가정!$C$37+D62*가정!$C$14+E62*가정!$C$18</f>
        <v>-3.0000000000000001E-3</v>
      </c>
      <c r="I62" s="17">
        <f t="shared" si="13"/>
        <v>15.899155109848383</v>
      </c>
      <c r="J62" s="17">
        <f>I62*(1+G62*가정!$C$19)</f>
        <v>15.899155109848383</v>
      </c>
      <c r="K62" s="17">
        <f>I62*가정!$C$36*(1+G62*가정!$C$19*가정!$C$24)</f>
        <v>7.9495775549241916</v>
      </c>
      <c r="L62" s="18">
        <f>가정!$C$38+D62*가정!$C$12+E62*가정!$C$17</f>
        <v>0.13</v>
      </c>
      <c r="M62" s="18">
        <f>가정!$C$38+가정!$C$23*(L62-가정!$C$38)</f>
        <v>0.13</v>
      </c>
      <c r="N62" s="19">
        <f t="shared" si="14"/>
        <v>513.52847711655784</v>
      </c>
      <c r="O62" s="20">
        <f>K62+가정!$C$33*M62+N62*L62</f>
        <v>127.48827958007671</v>
      </c>
      <c r="P62" s="21">
        <f>가정!$C$39*(1+D62*가정!$C$13)</f>
        <v>1.5468</v>
      </c>
      <c r="Q62" s="21">
        <f>1+F62*가정!$C$15</f>
        <v>1</v>
      </c>
      <c r="R62" s="21">
        <f t="shared" si="8"/>
        <v>1.5468</v>
      </c>
      <c r="S62" s="20">
        <f t="shared" si="9"/>
        <v>197.19887085446265</v>
      </c>
      <c r="T62" s="19">
        <f>IF(F62=1,가정!$C$16,가정!$C$40)</f>
        <v>31846</v>
      </c>
      <c r="U62" s="20">
        <f t="shared" si="10"/>
        <v>627.99952412312177</v>
      </c>
      <c r="V62" s="20">
        <f>U62/(1-가정!$C$41)*가정!$C$42</f>
        <v>661.05213065591772</v>
      </c>
      <c r="W62" s="19">
        <f>가정!$C$33+N62+K62</f>
        <v>927.47805467148203</v>
      </c>
      <c r="X62" s="19">
        <f t="shared" si="15"/>
        <v>1137.4780546714817</v>
      </c>
      <c r="Y62" s="19">
        <f t="shared" si="11"/>
        <v>2064.9561093429638</v>
      </c>
      <c r="Z62" s="20">
        <f t="shared" si="12"/>
        <v>197.19887085446265</v>
      </c>
    </row>
    <row r="63" spans="1:26" x14ac:dyDescent="0.3">
      <c r="A63" s="22">
        <v>60</v>
      </c>
      <c r="B63" s="22">
        <v>2031</v>
      </c>
      <c r="C63" s="22">
        <v>12</v>
      </c>
      <c r="D63" s="23">
        <f>가정!$D$6*MIN(1,MAX(0,(A63-가정!$C$28+1)/가정!$C$30))</f>
        <v>1</v>
      </c>
      <c r="E63" s="23">
        <f>IF(가정!$D$7&lt;30000,1,0)*MIN(1,MAX(0,(A63-가정!$C$29+1)/가정!$C$30))</f>
        <v>0</v>
      </c>
      <c r="F63" s="22">
        <f>IF(가정!$D$7&lt;30000,1,0)*IF(A63&gt;=가정!$C$29,1,0)</f>
        <v>0</v>
      </c>
      <c r="G63" s="23">
        <f>가정!$D$8*MIN(1,MAX(0,(A63-가정!$C$31+1)/가정!$C$32))</f>
        <v>0</v>
      </c>
      <c r="H63" s="24">
        <f>가정!$C$37+D63*가정!$C$14+E63*가정!$C$18</f>
        <v>-3.0000000000000001E-3</v>
      </c>
      <c r="I63" s="23">
        <f t="shared" si="13"/>
        <v>15.851457644518838</v>
      </c>
      <c r="J63" s="23">
        <f>I63*(1+G63*가정!$C$19)</f>
        <v>15.851457644518838</v>
      </c>
      <c r="K63" s="23">
        <f>I63*가정!$C$36*(1+G63*가정!$C$19*가정!$C$24)</f>
        <v>7.9257288222594191</v>
      </c>
      <c r="L63" s="24">
        <f>가정!$C$38+D63*가정!$C$12+E63*가정!$C$17</f>
        <v>0.13</v>
      </c>
      <c r="M63" s="24">
        <f>가정!$C$38+가정!$C$23*(L63-가정!$C$38)</f>
        <v>0.13</v>
      </c>
      <c r="N63" s="25">
        <f t="shared" si="14"/>
        <v>521.47805467148203</v>
      </c>
      <c r="O63" s="26">
        <f>K63+가정!$C$33*M63+N63*L63</f>
        <v>128.49787592955209</v>
      </c>
      <c r="P63" s="27">
        <f>가정!$C$39*(1+D63*가정!$C$13)</f>
        <v>1.5468</v>
      </c>
      <c r="Q63" s="27">
        <f>1+F63*가정!$C$15</f>
        <v>1</v>
      </c>
      <c r="R63" s="27">
        <f t="shared" si="8"/>
        <v>1.5468</v>
      </c>
      <c r="S63" s="26">
        <f t="shared" si="9"/>
        <v>198.76051448783119</v>
      </c>
      <c r="T63" s="25">
        <f>IF(F63=1,가정!$C$16,가정!$C$40)</f>
        <v>31846</v>
      </c>
      <c r="U63" s="26">
        <f t="shared" si="10"/>
        <v>632.97273443794711</v>
      </c>
      <c r="V63" s="26">
        <f>U63/(1-가정!$C$41)*가정!$C$42</f>
        <v>666.2870888820496</v>
      </c>
      <c r="W63" s="25">
        <f>가정!$C$33+N63+K63</f>
        <v>935.40378349374146</v>
      </c>
      <c r="X63" s="25">
        <f t="shared" si="15"/>
        <v>1145.4037834937412</v>
      </c>
      <c r="Y63" s="25">
        <f t="shared" si="11"/>
        <v>2080.8075669874825</v>
      </c>
      <c r="Z63" s="26">
        <f t="shared" si="12"/>
        <v>198.76051448783119</v>
      </c>
    </row>
  </sheetData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63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T10" sqref="T10"/>
    </sheetView>
  </sheetViews>
  <sheetFormatPr defaultRowHeight="16.5" x14ac:dyDescent="0.3"/>
  <cols>
    <col min="1" max="1" width="6" customWidth="1"/>
    <col min="2" max="2" width="7" customWidth="1"/>
    <col min="3" max="3" width="5" customWidth="1"/>
    <col min="4" max="5" width="8" customWidth="1"/>
    <col min="6" max="6" width="7" customWidth="1"/>
    <col min="7" max="8" width="9" customWidth="1"/>
    <col min="9" max="9" width="11" customWidth="1"/>
    <col min="10" max="10" width="10" customWidth="1"/>
    <col min="11" max="11" width="12" customWidth="1"/>
    <col min="12" max="14" width="11" customWidth="1"/>
    <col min="15" max="15" width="12" customWidth="1"/>
    <col min="16" max="16" width="10" customWidth="1"/>
    <col min="17" max="17" width="9" customWidth="1"/>
    <col min="18" max="18" width="10" customWidth="1"/>
    <col min="19" max="19" width="11" customWidth="1"/>
    <col min="20" max="20" width="10" customWidth="1"/>
    <col min="21" max="22" width="11" customWidth="1"/>
    <col min="23" max="23" width="12" customWidth="1"/>
    <col min="24" max="25" width="11" customWidth="1"/>
    <col min="26" max="26" width="12" customWidth="1"/>
  </cols>
  <sheetData>
    <row r="1" spans="1:26" ht="17.25" x14ac:dyDescent="0.3">
      <c r="A1" s="1" t="s">
        <v>132</v>
      </c>
    </row>
    <row r="2" spans="1:26" x14ac:dyDescent="0.3">
      <c r="A2" s="2" t="s">
        <v>105</v>
      </c>
    </row>
    <row r="3" spans="1:26" ht="39.950000000000003" customHeight="1" x14ac:dyDescent="0.3">
      <c r="A3" s="5" t="s">
        <v>53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5" t="s">
        <v>113</v>
      </c>
      <c r="J3" s="5" t="s">
        <v>114</v>
      </c>
      <c r="K3" s="5" t="s">
        <v>115</v>
      </c>
      <c r="L3" s="5" t="s">
        <v>116</v>
      </c>
      <c r="M3" s="5" t="s">
        <v>117</v>
      </c>
      <c r="N3" s="5" t="s">
        <v>118</v>
      </c>
      <c r="O3" s="5" t="s">
        <v>119</v>
      </c>
      <c r="P3" s="5" t="s">
        <v>120</v>
      </c>
      <c r="Q3" s="5" t="s">
        <v>121</v>
      </c>
      <c r="R3" s="5" t="s">
        <v>122</v>
      </c>
      <c r="S3" s="5" t="s">
        <v>123</v>
      </c>
      <c r="T3" s="5" t="s">
        <v>124</v>
      </c>
      <c r="U3" s="5" t="s">
        <v>125</v>
      </c>
      <c r="V3" s="5" t="s">
        <v>126</v>
      </c>
      <c r="W3" s="5" t="s">
        <v>127</v>
      </c>
      <c r="X3" s="5" t="s">
        <v>128</v>
      </c>
      <c r="Y3" s="5" t="s">
        <v>129</v>
      </c>
      <c r="Z3" s="5" t="s">
        <v>130</v>
      </c>
    </row>
    <row r="4" spans="1:26" x14ac:dyDescent="0.3">
      <c r="A4" s="16">
        <v>1</v>
      </c>
      <c r="B4" s="16">
        <v>2027</v>
      </c>
      <c r="C4" s="16">
        <v>1</v>
      </c>
      <c r="D4" s="17">
        <f>가정!$E$6*MIN(1,MAX(0,(A4-가정!$C$28+1)/가정!$C$30))</f>
        <v>0</v>
      </c>
      <c r="E4" s="17">
        <f>IF(가정!$E$7&lt;30000,1,0)*MIN(1,MAX(0,(A4-가정!$C$29+1)/가정!$C$30))</f>
        <v>0</v>
      </c>
      <c r="F4" s="16">
        <f>IF(가정!$E$7&lt;30000,1,0)*IF(A4&gt;=가정!$C$29,1,0)</f>
        <v>0</v>
      </c>
      <c r="G4" s="17">
        <f>가정!$E$8*MIN(1,MAX(0,(A4-가정!$C$31+1)/가정!$C$32))</f>
        <v>0</v>
      </c>
      <c r="H4" s="18">
        <f>가정!$C$37+D4*가정!$C$14+E4*가정!$C$18</f>
        <v>-5.0000000000000001E-3</v>
      </c>
      <c r="I4" s="17">
        <f>가정!$C$35</f>
        <v>20</v>
      </c>
      <c r="J4" s="17">
        <f>I4*(1+G4*가정!$C$19)</f>
        <v>20</v>
      </c>
      <c r="K4" s="17">
        <f>I4*가정!$C$36*(1+G4*가정!$C$19*가정!$C$24)</f>
        <v>10</v>
      </c>
      <c r="L4" s="18">
        <f>가정!$C$38+D4*가정!$C$12+E4*가정!$C$17</f>
        <v>0.111</v>
      </c>
      <c r="M4" s="18">
        <f>가정!$C$38+가정!$C$23*(L4-가정!$C$38)</f>
        <v>0.111</v>
      </c>
      <c r="N4" s="19">
        <f>0</f>
        <v>0</v>
      </c>
      <c r="O4" s="20">
        <f>K4+가정!$C$33*M4+N4*L4</f>
        <v>55.066000000000003</v>
      </c>
      <c r="P4" s="21">
        <f>가정!$C$39*(1+D4*가정!$C$13)</f>
        <v>1.2889999999999999</v>
      </c>
      <c r="Q4" s="21">
        <f>1+F4*가정!$C$15</f>
        <v>1</v>
      </c>
      <c r="R4" s="21">
        <f t="shared" ref="R4:R35" si="0">P4*Q4</f>
        <v>1.2889999999999999</v>
      </c>
      <c r="S4" s="20">
        <f t="shared" ref="S4:S35" si="1">O4*R4</f>
        <v>70.980074000000002</v>
      </c>
      <c r="T4" s="19">
        <f>IF(F4=1,가정!$C$16,가정!$C$40)</f>
        <v>31846</v>
      </c>
      <c r="U4" s="20">
        <f t="shared" ref="U4:U35" si="2">S4*T4/10000</f>
        <v>226.04314366040001</v>
      </c>
      <c r="V4" s="20">
        <f>U4/(1-가정!$C$41)*가정!$C$42</f>
        <v>237.94015122147371</v>
      </c>
      <c r="W4" s="19">
        <f>가정!$C$33+N4+K4</f>
        <v>416</v>
      </c>
      <c r="X4" s="19">
        <f>(가정!$C$34-가정!$C$33)+J4-K4</f>
        <v>626</v>
      </c>
      <c r="Y4" s="19">
        <f t="shared" ref="Y4:Y35" si="3">W4+X4</f>
        <v>1042</v>
      </c>
      <c r="Z4" s="20">
        <f t="shared" ref="Z4:Z35" si="4">O4*P4</f>
        <v>70.980074000000002</v>
      </c>
    </row>
    <row r="5" spans="1:26" x14ac:dyDescent="0.3">
      <c r="A5" s="16">
        <v>2</v>
      </c>
      <c r="B5" s="16">
        <v>2027</v>
      </c>
      <c r="C5" s="16">
        <v>2</v>
      </c>
      <c r="D5" s="17">
        <f>가정!$E$6*MIN(1,MAX(0,(A5-가정!$C$28+1)/가정!$C$30))</f>
        <v>0</v>
      </c>
      <c r="E5" s="17">
        <f>IF(가정!$E$7&lt;30000,1,0)*MIN(1,MAX(0,(A5-가정!$C$29+1)/가정!$C$30))</f>
        <v>0</v>
      </c>
      <c r="F5" s="16">
        <f>IF(가정!$E$7&lt;30000,1,0)*IF(A5&gt;=가정!$C$29,1,0)</f>
        <v>0</v>
      </c>
      <c r="G5" s="17">
        <f>가정!$E$8*MIN(1,MAX(0,(A5-가정!$C$31+1)/가정!$C$32))</f>
        <v>0</v>
      </c>
      <c r="H5" s="18">
        <f>가정!$C$37+D5*가정!$C$14+E5*가정!$C$18</f>
        <v>-5.0000000000000001E-3</v>
      </c>
      <c r="I5" s="17">
        <f t="shared" ref="I5:I36" si="5">I4*(1+H5)</f>
        <v>19.899999999999999</v>
      </c>
      <c r="J5" s="17">
        <f>I5*(1+G5*가정!$C$19)</f>
        <v>19.899999999999999</v>
      </c>
      <c r="K5" s="17">
        <f>I5*가정!$C$36*(1+G5*가정!$C$19*가정!$C$24)</f>
        <v>9.9499999999999993</v>
      </c>
      <c r="L5" s="18">
        <f>가정!$C$38+D5*가정!$C$12+E5*가정!$C$17</f>
        <v>0.111</v>
      </c>
      <c r="M5" s="18">
        <f>가정!$C$38+가정!$C$23*(L5-가정!$C$38)</f>
        <v>0.111</v>
      </c>
      <c r="N5" s="19">
        <f t="shared" ref="N5:N36" si="6">N4+K4</f>
        <v>10</v>
      </c>
      <c r="O5" s="20">
        <f>K5+가정!$C$33*M5+N5*L5</f>
        <v>56.126000000000005</v>
      </c>
      <c r="P5" s="21">
        <f>가정!$C$39*(1+D5*가정!$C$13)</f>
        <v>1.2889999999999999</v>
      </c>
      <c r="Q5" s="21">
        <f>1+F5*가정!$C$15</f>
        <v>1</v>
      </c>
      <c r="R5" s="21">
        <f t="shared" si="0"/>
        <v>1.2889999999999999</v>
      </c>
      <c r="S5" s="20">
        <f t="shared" si="1"/>
        <v>72.346413999999996</v>
      </c>
      <c r="T5" s="19">
        <f>IF(F5=1,가정!$C$16,가정!$C$40)</f>
        <v>31846</v>
      </c>
      <c r="U5" s="20">
        <f t="shared" si="2"/>
        <v>230.3943900244</v>
      </c>
      <c r="V5" s="20">
        <f>U5/(1-가정!$C$41)*가정!$C$42</f>
        <v>242.52041055200002</v>
      </c>
      <c r="W5" s="19">
        <f>가정!$C$33+N5+K5</f>
        <v>425.95</v>
      </c>
      <c r="X5" s="19">
        <f t="shared" ref="X5:X36" si="7">X4+J5-K5</f>
        <v>635.94999999999993</v>
      </c>
      <c r="Y5" s="19">
        <f t="shared" si="3"/>
        <v>1061.8999999999999</v>
      </c>
      <c r="Z5" s="20">
        <f t="shared" si="4"/>
        <v>72.346413999999996</v>
      </c>
    </row>
    <row r="6" spans="1:26" x14ac:dyDescent="0.3">
      <c r="A6" s="16">
        <v>3</v>
      </c>
      <c r="B6" s="16">
        <v>2027</v>
      </c>
      <c r="C6" s="16">
        <v>3</v>
      </c>
      <c r="D6" s="17">
        <f>가정!$E$6*MIN(1,MAX(0,(A6-가정!$C$28+1)/가정!$C$30))</f>
        <v>0</v>
      </c>
      <c r="E6" s="17">
        <f>IF(가정!$E$7&lt;30000,1,0)*MIN(1,MAX(0,(A6-가정!$C$29+1)/가정!$C$30))</f>
        <v>0</v>
      </c>
      <c r="F6" s="16">
        <f>IF(가정!$E$7&lt;30000,1,0)*IF(A6&gt;=가정!$C$29,1,0)</f>
        <v>0</v>
      </c>
      <c r="G6" s="17">
        <f>가정!$E$8*MIN(1,MAX(0,(A6-가정!$C$31+1)/가정!$C$32))</f>
        <v>0</v>
      </c>
      <c r="H6" s="18">
        <f>가정!$C$37+D6*가정!$C$14+E6*가정!$C$18</f>
        <v>-5.0000000000000001E-3</v>
      </c>
      <c r="I6" s="17">
        <f t="shared" si="5"/>
        <v>19.8005</v>
      </c>
      <c r="J6" s="17">
        <f>I6*(1+G6*가정!$C$19)</f>
        <v>19.8005</v>
      </c>
      <c r="K6" s="17">
        <f>I6*가정!$C$36*(1+G6*가정!$C$19*가정!$C$24)</f>
        <v>9.9002499999999998</v>
      </c>
      <c r="L6" s="18">
        <f>가정!$C$38+D6*가정!$C$12+E6*가정!$C$17</f>
        <v>0.111</v>
      </c>
      <c r="M6" s="18">
        <f>가정!$C$38+가정!$C$23*(L6-가정!$C$38)</f>
        <v>0.111</v>
      </c>
      <c r="N6" s="19">
        <f t="shared" si="6"/>
        <v>19.95</v>
      </c>
      <c r="O6" s="20">
        <f>K6+가정!$C$33*M6+N6*L6</f>
        <v>57.180700000000002</v>
      </c>
      <c r="P6" s="21">
        <f>가정!$C$39*(1+D6*가정!$C$13)</f>
        <v>1.2889999999999999</v>
      </c>
      <c r="Q6" s="21">
        <f>1+F6*가정!$C$15</f>
        <v>1</v>
      </c>
      <c r="R6" s="21">
        <f t="shared" si="0"/>
        <v>1.2889999999999999</v>
      </c>
      <c r="S6" s="20">
        <f t="shared" si="1"/>
        <v>73.705922299999997</v>
      </c>
      <c r="T6" s="19">
        <f>IF(F6=1,가정!$C$16,가정!$C$40)</f>
        <v>31846</v>
      </c>
      <c r="U6" s="20">
        <f t="shared" si="2"/>
        <v>234.72388015657998</v>
      </c>
      <c r="V6" s="20">
        <f>U6/(1-가정!$C$41)*가정!$C$42</f>
        <v>247.07776858587368</v>
      </c>
      <c r="W6" s="19">
        <f>가정!$C$33+N6+K6</f>
        <v>435.85024999999996</v>
      </c>
      <c r="X6" s="19">
        <f t="shared" si="7"/>
        <v>645.85024999999985</v>
      </c>
      <c r="Y6" s="19">
        <f t="shared" si="3"/>
        <v>1081.7004999999999</v>
      </c>
      <c r="Z6" s="20">
        <f t="shared" si="4"/>
        <v>73.705922299999997</v>
      </c>
    </row>
    <row r="7" spans="1:26" x14ac:dyDescent="0.3">
      <c r="A7" s="16">
        <v>4</v>
      </c>
      <c r="B7" s="16">
        <v>2027</v>
      </c>
      <c r="C7" s="16">
        <v>4</v>
      </c>
      <c r="D7" s="17">
        <f>가정!$E$6*MIN(1,MAX(0,(A7-가정!$C$28+1)/가정!$C$30))</f>
        <v>0</v>
      </c>
      <c r="E7" s="17">
        <f>IF(가정!$E$7&lt;30000,1,0)*MIN(1,MAX(0,(A7-가정!$C$29+1)/가정!$C$30))</f>
        <v>0</v>
      </c>
      <c r="F7" s="16">
        <f>IF(가정!$E$7&lt;30000,1,0)*IF(A7&gt;=가정!$C$29,1,0)</f>
        <v>0</v>
      </c>
      <c r="G7" s="17">
        <f>가정!$E$8*MIN(1,MAX(0,(A7-가정!$C$31+1)/가정!$C$32))</f>
        <v>0</v>
      </c>
      <c r="H7" s="18">
        <f>가정!$C$37+D7*가정!$C$14+E7*가정!$C$18</f>
        <v>-5.0000000000000001E-3</v>
      </c>
      <c r="I7" s="17">
        <f t="shared" si="5"/>
        <v>19.701497499999999</v>
      </c>
      <c r="J7" s="17">
        <f>I7*(1+G7*가정!$C$19)</f>
        <v>19.701497499999999</v>
      </c>
      <c r="K7" s="17">
        <f>I7*가정!$C$36*(1+G7*가정!$C$19*가정!$C$24)</f>
        <v>9.8507487499999993</v>
      </c>
      <c r="L7" s="18">
        <f>가정!$C$38+D7*가정!$C$12+E7*가정!$C$17</f>
        <v>0.111</v>
      </c>
      <c r="M7" s="18">
        <f>가정!$C$38+가정!$C$23*(L7-가정!$C$38)</f>
        <v>0.111</v>
      </c>
      <c r="N7" s="19">
        <f t="shared" si="6"/>
        <v>29.850249999999999</v>
      </c>
      <c r="O7" s="20">
        <f>K7+가정!$C$33*M7+N7*L7</f>
        <v>58.230126500000004</v>
      </c>
      <c r="P7" s="21">
        <f>가정!$C$39*(1+D7*가정!$C$13)</f>
        <v>1.2889999999999999</v>
      </c>
      <c r="Q7" s="21">
        <f>1+F7*가정!$C$15</f>
        <v>1</v>
      </c>
      <c r="R7" s="21">
        <f t="shared" si="0"/>
        <v>1.2889999999999999</v>
      </c>
      <c r="S7" s="20">
        <f t="shared" si="1"/>
        <v>75.058633058500007</v>
      </c>
      <c r="T7" s="19">
        <f>IF(F7=1,가정!$C$16,가정!$C$40)</f>
        <v>31846</v>
      </c>
      <c r="U7" s="20">
        <f t="shared" si="2"/>
        <v>239.03172283809911</v>
      </c>
      <c r="V7" s="20">
        <f>U7/(1-가정!$C$41)*가정!$C$42</f>
        <v>251.61233982957802</v>
      </c>
      <c r="W7" s="19">
        <f>가정!$C$33+N7+K7</f>
        <v>445.70099875</v>
      </c>
      <c r="X7" s="19">
        <f t="shared" si="7"/>
        <v>655.70099874999983</v>
      </c>
      <c r="Y7" s="19">
        <f t="shared" si="3"/>
        <v>1101.4019974999999</v>
      </c>
      <c r="Z7" s="20">
        <f t="shared" si="4"/>
        <v>75.058633058500007</v>
      </c>
    </row>
    <row r="8" spans="1:26" x14ac:dyDescent="0.3">
      <c r="A8" s="16">
        <v>5</v>
      </c>
      <c r="B8" s="16">
        <v>2027</v>
      </c>
      <c r="C8" s="16">
        <v>5</v>
      </c>
      <c r="D8" s="17">
        <f>가정!$E$6*MIN(1,MAX(0,(A8-가정!$C$28+1)/가정!$C$30))</f>
        <v>0</v>
      </c>
      <c r="E8" s="17">
        <f>IF(가정!$E$7&lt;30000,1,0)*MIN(1,MAX(0,(A8-가정!$C$29+1)/가정!$C$30))</f>
        <v>0</v>
      </c>
      <c r="F8" s="16">
        <f>IF(가정!$E$7&lt;30000,1,0)*IF(A8&gt;=가정!$C$29,1,0)</f>
        <v>0</v>
      </c>
      <c r="G8" s="17">
        <f>가정!$E$8*MIN(1,MAX(0,(A8-가정!$C$31+1)/가정!$C$32))</f>
        <v>0</v>
      </c>
      <c r="H8" s="18">
        <f>가정!$C$37+D8*가정!$C$14+E8*가정!$C$18</f>
        <v>-5.0000000000000001E-3</v>
      </c>
      <c r="I8" s="17">
        <f t="shared" si="5"/>
        <v>19.602990012499998</v>
      </c>
      <c r="J8" s="17">
        <f>I8*(1+G8*가정!$C$19)</f>
        <v>19.602990012499998</v>
      </c>
      <c r="K8" s="17">
        <f>I8*가정!$C$36*(1+G8*가정!$C$19*가정!$C$24)</f>
        <v>9.8014950062499988</v>
      </c>
      <c r="L8" s="18">
        <f>가정!$C$38+D8*가정!$C$12+E8*가정!$C$17</f>
        <v>0.111</v>
      </c>
      <c r="M8" s="18">
        <f>가정!$C$38+가정!$C$23*(L8-가정!$C$38)</f>
        <v>0.111</v>
      </c>
      <c r="N8" s="19">
        <f t="shared" si="6"/>
        <v>39.700998749999997</v>
      </c>
      <c r="O8" s="20">
        <f>K8+가정!$C$33*M8+N8*L8</f>
        <v>59.274305867500004</v>
      </c>
      <c r="P8" s="21">
        <f>가정!$C$39*(1+D8*가정!$C$13)</f>
        <v>1.2889999999999999</v>
      </c>
      <c r="Q8" s="21">
        <f>1+F8*가정!$C$15</f>
        <v>1</v>
      </c>
      <c r="R8" s="21">
        <f t="shared" si="0"/>
        <v>1.2889999999999999</v>
      </c>
      <c r="S8" s="20">
        <f t="shared" si="1"/>
        <v>76.404580263207507</v>
      </c>
      <c r="T8" s="19">
        <f>IF(F8=1,가정!$C$16,가정!$C$40)</f>
        <v>31846</v>
      </c>
      <c r="U8" s="20">
        <f t="shared" si="2"/>
        <v>243.31802630621064</v>
      </c>
      <c r="V8" s="20">
        <f>U8/(1-가정!$C$41)*가정!$C$42</f>
        <v>256.12423821706386</v>
      </c>
      <c r="W8" s="19">
        <f>가정!$C$33+N8+K8</f>
        <v>455.50249375624998</v>
      </c>
      <c r="X8" s="19">
        <f t="shared" si="7"/>
        <v>665.50249375624981</v>
      </c>
      <c r="Y8" s="19">
        <f t="shared" si="3"/>
        <v>1121.0049875124998</v>
      </c>
      <c r="Z8" s="20">
        <f t="shared" si="4"/>
        <v>76.404580263207507</v>
      </c>
    </row>
    <row r="9" spans="1:26" x14ac:dyDescent="0.3">
      <c r="A9" s="16">
        <v>6</v>
      </c>
      <c r="B9" s="16">
        <v>2027</v>
      </c>
      <c r="C9" s="16">
        <v>6</v>
      </c>
      <c r="D9" s="17">
        <f>가정!$E$6*MIN(1,MAX(0,(A9-가정!$C$28+1)/가정!$C$30))</f>
        <v>2.0833333333333332E-2</v>
      </c>
      <c r="E9" s="17">
        <f>IF(가정!$E$7&lt;30000,1,0)*MIN(1,MAX(0,(A9-가정!$C$29+1)/가정!$C$30))</f>
        <v>0</v>
      </c>
      <c r="F9" s="16">
        <f>IF(가정!$E$7&lt;30000,1,0)*IF(A9&gt;=가정!$C$29,1,0)</f>
        <v>0</v>
      </c>
      <c r="G9" s="17">
        <f>가정!$E$8*MIN(1,MAX(0,(A9-가정!$C$31+1)/가정!$C$32))</f>
        <v>0</v>
      </c>
      <c r="H9" s="18">
        <f>가정!$C$37+D9*가정!$C$14+E9*가정!$C$18</f>
        <v>-4.9583333333333337E-3</v>
      </c>
      <c r="I9" s="17">
        <f t="shared" si="5"/>
        <v>19.50579185368802</v>
      </c>
      <c r="J9" s="17">
        <f>I9*(1+G9*가정!$C$19)</f>
        <v>19.50579185368802</v>
      </c>
      <c r="K9" s="17">
        <f>I9*가정!$C$36*(1+G9*가정!$C$19*가정!$C$24)</f>
        <v>9.7528959268440101</v>
      </c>
      <c r="L9" s="18">
        <f>가정!$C$38+D9*가정!$C$12+E9*가정!$C$17</f>
        <v>0.11139583333333333</v>
      </c>
      <c r="M9" s="18">
        <f>가정!$C$38+가정!$C$23*(L9-가정!$C$38)</f>
        <v>0.11139583333333333</v>
      </c>
      <c r="N9" s="19">
        <f t="shared" si="6"/>
        <v>49.502493756249997</v>
      </c>
      <c r="O9" s="20">
        <f>K9+가정!$C$33*M9+N9*L9</f>
        <v>60.493975804232946</v>
      </c>
      <c r="P9" s="21">
        <f>가정!$C$39*(1+D9*가정!$C$13)</f>
        <v>1.2943708333333332</v>
      </c>
      <c r="Q9" s="21">
        <f>1+F9*가정!$C$15</f>
        <v>1</v>
      </c>
      <c r="R9" s="21">
        <f t="shared" si="0"/>
        <v>1.2943708333333332</v>
      </c>
      <c r="S9" s="20">
        <f t="shared" si="1"/>
        <v>78.30163787337149</v>
      </c>
      <c r="T9" s="19">
        <f>IF(F9=1,가정!$C$16,가정!$C$40)</f>
        <v>31846</v>
      </c>
      <c r="U9" s="20">
        <f t="shared" si="2"/>
        <v>249.35939597153882</v>
      </c>
      <c r="V9" s="20">
        <f>U9/(1-가정!$C$41)*가정!$C$42</f>
        <v>262.48357470688296</v>
      </c>
      <c r="W9" s="19">
        <f>가정!$C$33+N9+K9</f>
        <v>465.25538968309399</v>
      </c>
      <c r="X9" s="19">
        <f t="shared" si="7"/>
        <v>675.25538968309388</v>
      </c>
      <c r="Y9" s="19">
        <f t="shared" si="3"/>
        <v>1140.5107793661878</v>
      </c>
      <c r="Z9" s="20">
        <f t="shared" si="4"/>
        <v>78.30163787337149</v>
      </c>
    </row>
    <row r="10" spans="1:26" x14ac:dyDescent="0.3">
      <c r="A10" s="16">
        <v>7</v>
      </c>
      <c r="B10" s="16">
        <v>2027</v>
      </c>
      <c r="C10" s="16">
        <v>7</v>
      </c>
      <c r="D10" s="17">
        <f>가정!$E$6*MIN(1,MAX(0,(A10-가정!$C$28+1)/가정!$C$30))</f>
        <v>4.1666666666666664E-2</v>
      </c>
      <c r="E10" s="17">
        <f>IF(가정!$E$7&lt;30000,1,0)*MIN(1,MAX(0,(A10-가정!$C$29+1)/가정!$C$30))</f>
        <v>2.0833333333333332E-2</v>
      </c>
      <c r="F10" s="16">
        <f>IF(가정!$E$7&lt;30000,1,0)*IF(A10&gt;=가정!$C$29,1,0)</f>
        <v>1</v>
      </c>
      <c r="G10" s="17">
        <f>가정!$E$8*MIN(1,MAX(0,(A10-가정!$C$31+1)/가정!$C$32))</f>
        <v>0</v>
      </c>
      <c r="H10" s="18">
        <f>가정!$C$37+D10*가정!$C$14+E10*가정!$C$18</f>
        <v>-4.875E-3</v>
      </c>
      <c r="I10" s="17">
        <f t="shared" si="5"/>
        <v>19.410701118401292</v>
      </c>
      <c r="J10" s="17">
        <f>I10*(1+G10*가정!$C$19)</f>
        <v>19.410701118401292</v>
      </c>
      <c r="K10" s="17">
        <f>I10*가정!$C$36*(1+G10*가정!$C$19*가정!$C$24)</f>
        <v>9.7053505592006459</v>
      </c>
      <c r="L10" s="18">
        <f>가정!$C$38+D10*가정!$C$12+E10*가정!$C$17</f>
        <v>0.11220833333333333</v>
      </c>
      <c r="M10" s="18">
        <f>가정!$C$38+가정!$C$23*(L10-가정!$C$38)</f>
        <v>0.11220833333333333</v>
      </c>
      <c r="N10" s="19">
        <f t="shared" si="6"/>
        <v>59.255389683094009</v>
      </c>
      <c r="O10" s="20">
        <f>K10+가정!$C$33*M10+N10*L10</f>
        <v>61.910882409891144</v>
      </c>
      <c r="P10" s="21">
        <f>가정!$C$39*(1+D10*가정!$C$13)</f>
        <v>1.2997416666666666</v>
      </c>
      <c r="Q10" s="21">
        <f>1+F10*가정!$C$15</f>
        <v>1.0860000000000001</v>
      </c>
      <c r="R10" s="21">
        <f t="shared" si="0"/>
        <v>1.4115194499999999</v>
      </c>
      <c r="S10" s="20">
        <f t="shared" si="1"/>
        <v>87.388414688224216</v>
      </c>
      <c r="T10" s="19">
        <f>IF(F10=1,가정!$C$16,가정!$C$40)</f>
        <v>29800</v>
      </c>
      <c r="U10" s="20">
        <f t="shared" si="2"/>
        <v>260.4174757709082</v>
      </c>
      <c r="V10" s="20">
        <f>U10/(1-가정!$C$41)*가정!$C$42</f>
        <v>274.12365870621915</v>
      </c>
      <c r="W10" s="19">
        <f>가정!$C$33+N10+K10</f>
        <v>474.96074024229466</v>
      </c>
      <c r="X10" s="19">
        <f t="shared" si="7"/>
        <v>684.96074024229461</v>
      </c>
      <c r="Y10" s="19">
        <f t="shared" si="3"/>
        <v>1159.9214804845892</v>
      </c>
      <c r="Z10" s="20">
        <f t="shared" si="4"/>
        <v>80.468153488235927</v>
      </c>
    </row>
    <row r="11" spans="1:26" x14ac:dyDescent="0.3">
      <c r="A11" s="16">
        <v>8</v>
      </c>
      <c r="B11" s="16">
        <v>2027</v>
      </c>
      <c r="C11" s="16">
        <v>8</v>
      </c>
      <c r="D11" s="17">
        <f>가정!$E$6*MIN(1,MAX(0,(A11-가정!$C$28+1)/가정!$C$30))</f>
        <v>6.25E-2</v>
      </c>
      <c r="E11" s="17">
        <f>IF(가정!$E$7&lt;30000,1,0)*MIN(1,MAX(0,(A11-가정!$C$29+1)/가정!$C$30))</f>
        <v>4.1666666666666664E-2</v>
      </c>
      <c r="F11" s="16">
        <f>IF(가정!$E$7&lt;30000,1,0)*IF(A11&gt;=가정!$C$29,1,0)</f>
        <v>1</v>
      </c>
      <c r="G11" s="17">
        <f>가정!$E$8*MIN(1,MAX(0,(A11-가정!$C$31+1)/가정!$C$32))</f>
        <v>0</v>
      </c>
      <c r="H11" s="18">
        <f>가정!$C$37+D11*가정!$C$14+E11*가정!$C$18</f>
        <v>-4.7916666666666663E-3</v>
      </c>
      <c r="I11" s="17">
        <f t="shared" si="5"/>
        <v>19.317691508875619</v>
      </c>
      <c r="J11" s="17">
        <f>I11*(1+G11*가정!$C$19)</f>
        <v>19.317691508875619</v>
      </c>
      <c r="K11" s="17">
        <f>I11*가정!$C$36*(1+G11*가정!$C$19*가정!$C$24)</f>
        <v>9.6588457544378095</v>
      </c>
      <c r="L11" s="18">
        <f>가정!$C$38+D11*가정!$C$12+E11*가정!$C$17</f>
        <v>0.11302083333333333</v>
      </c>
      <c r="M11" s="18">
        <f>가정!$C$38+가정!$C$23*(L11-가정!$C$38)</f>
        <v>0.11302083333333333</v>
      </c>
      <c r="N11" s="19">
        <f t="shared" si="6"/>
        <v>68.960740242294662</v>
      </c>
      <c r="O11" s="20">
        <f>K11+가정!$C$33*M11+N11*L11</f>
        <v>63.339304417238822</v>
      </c>
      <c r="P11" s="21">
        <f>가정!$C$39*(1+D11*가정!$C$13)</f>
        <v>1.3051124999999999</v>
      </c>
      <c r="Q11" s="21">
        <f>1+F11*가정!$C$15</f>
        <v>1.0860000000000001</v>
      </c>
      <c r="R11" s="21">
        <f t="shared" si="0"/>
        <v>1.417352175</v>
      </c>
      <c r="S11" s="20">
        <f t="shared" si="1"/>
        <v>89.774100878760549</v>
      </c>
      <c r="T11" s="19">
        <f>IF(F11=1,가정!$C$16,가정!$C$40)</f>
        <v>29800</v>
      </c>
      <c r="U11" s="20">
        <f t="shared" si="2"/>
        <v>267.52682061870644</v>
      </c>
      <c r="V11" s="20">
        <f>U11/(1-가정!$C$41)*가정!$C$42</f>
        <v>281.60717959863837</v>
      </c>
      <c r="W11" s="19">
        <f>가정!$C$33+N11+K11</f>
        <v>484.6195859967325</v>
      </c>
      <c r="X11" s="19">
        <f t="shared" si="7"/>
        <v>694.61958599673244</v>
      </c>
      <c r="Y11" s="19">
        <f t="shared" si="3"/>
        <v>1179.2391719934649</v>
      </c>
      <c r="Z11" s="20">
        <f t="shared" si="4"/>
        <v>82.664917936243597</v>
      </c>
    </row>
    <row r="12" spans="1:26" x14ac:dyDescent="0.3">
      <c r="A12" s="16">
        <v>9</v>
      </c>
      <c r="B12" s="16">
        <v>2027</v>
      </c>
      <c r="C12" s="16">
        <v>9</v>
      </c>
      <c r="D12" s="17">
        <f>가정!$E$6*MIN(1,MAX(0,(A12-가정!$C$28+1)/가정!$C$30))</f>
        <v>8.3333333333333329E-2</v>
      </c>
      <c r="E12" s="17">
        <f>IF(가정!$E$7&lt;30000,1,0)*MIN(1,MAX(0,(A12-가정!$C$29+1)/가정!$C$30))</f>
        <v>6.25E-2</v>
      </c>
      <c r="F12" s="16">
        <f>IF(가정!$E$7&lt;30000,1,0)*IF(A12&gt;=가정!$C$29,1,0)</f>
        <v>1</v>
      </c>
      <c r="G12" s="17">
        <f>가정!$E$8*MIN(1,MAX(0,(A12-가정!$C$31+1)/가정!$C$32))</f>
        <v>0</v>
      </c>
      <c r="H12" s="18">
        <f>가정!$C$37+D12*가정!$C$14+E12*가정!$C$18</f>
        <v>-4.7083333333333335E-3</v>
      </c>
      <c r="I12" s="17">
        <f t="shared" si="5"/>
        <v>19.22673737802133</v>
      </c>
      <c r="J12" s="17">
        <f>I12*(1+G12*가정!$C$19)</f>
        <v>19.22673737802133</v>
      </c>
      <c r="K12" s="17">
        <f>I12*가정!$C$36*(1+G12*가정!$C$19*가정!$C$24)</f>
        <v>9.6133686890106649</v>
      </c>
      <c r="L12" s="18">
        <f>가정!$C$38+D12*가정!$C$12+E12*가정!$C$17</f>
        <v>0.11383333333333334</v>
      </c>
      <c r="M12" s="18">
        <f>가정!$C$38+가정!$C$23*(L12-가정!$C$38)</f>
        <v>0.11383333333333334</v>
      </c>
      <c r="N12" s="19">
        <f t="shared" si="6"/>
        <v>78.619585996732468</v>
      </c>
      <c r="O12" s="20">
        <f>K12+가정!$C$33*M12+N12*L12</f>
        <v>64.77923156163871</v>
      </c>
      <c r="P12" s="21">
        <f>가정!$C$39*(1+D12*가정!$C$13)</f>
        <v>1.3104833333333332</v>
      </c>
      <c r="Q12" s="21">
        <f>1+F12*가정!$C$15</f>
        <v>1.0860000000000001</v>
      </c>
      <c r="R12" s="21">
        <f t="shared" si="0"/>
        <v>1.4231849000000001</v>
      </c>
      <c r="S12" s="20">
        <f t="shared" si="1"/>
        <v>92.192824192127631</v>
      </c>
      <c r="T12" s="19">
        <f>IF(F12=1,가정!$C$16,가정!$C$40)</f>
        <v>29800</v>
      </c>
      <c r="U12" s="20">
        <f t="shared" si="2"/>
        <v>274.73461609254031</v>
      </c>
      <c r="V12" s="20">
        <f>U12/(1-가정!$C$41)*가정!$C$42</f>
        <v>289.19433272898982</v>
      </c>
      <c r="W12" s="19">
        <f>가정!$C$33+N12+K12</f>
        <v>494.2329546857431</v>
      </c>
      <c r="X12" s="19">
        <f t="shared" si="7"/>
        <v>704.23295468574304</v>
      </c>
      <c r="Y12" s="19">
        <f t="shared" si="3"/>
        <v>1198.4659093714861</v>
      </c>
      <c r="Z12" s="20">
        <f t="shared" si="4"/>
        <v>84.892103307668165</v>
      </c>
    </row>
    <row r="13" spans="1:26" x14ac:dyDescent="0.3">
      <c r="A13" s="16">
        <v>10</v>
      </c>
      <c r="B13" s="16">
        <v>2027</v>
      </c>
      <c r="C13" s="16">
        <v>10</v>
      </c>
      <c r="D13" s="17">
        <f>가정!$E$6*MIN(1,MAX(0,(A13-가정!$C$28+1)/가정!$C$30))</f>
        <v>0.10416666666666667</v>
      </c>
      <c r="E13" s="17">
        <f>IF(가정!$E$7&lt;30000,1,0)*MIN(1,MAX(0,(A13-가정!$C$29+1)/가정!$C$30))</f>
        <v>8.3333333333333329E-2</v>
      </c>
      <c r="F13" s="16">
        <f>IF(가정!$E$7&lt;30000,1,0)*IF(A13&gt;=가정!$C$29,1,0)</f>
        <v>1</v>
      </c>
      <c r="G13" s="17">
        <f>가정!$E$8*MIN(1,MAX(0,(A13-가정!$C$31+1)/가정!$C$32))</f>
        <v>0</v>
      </c>
      <c r="H13" s="18">
        <f>가정!$C$37+D13*가정!$C$14+E13*가정!$C$18</f>
        <v>-4.6250000000000006E-3</v>
      </c>
      <c r="I13" s="17">
        <f t="shared" si="5"/>
        <v>19.13781371764798</v>
      </c>
      <c r="J13" s="17">
        <f>I13*(1+G13*가정!$C$19)</f>
        <v>19.13781371764798</v>
      </c>
      <c r="K13" s="17">
        <f>I13*가정!$C$36*(1+G13*가정!$C$19*가정!$C$24)</f>
        <v>9.5689068588239898</v>
      </c>
      <c r="L13" s="18">
        <f>가정!$C$38+D13*가정!$C$12+E13*가정!$C$17</f>
        <v>0.11464583333333334</v>
      </c>
      <c r="M13" s="18">
        <f>가정!$C$38+가정!$C$23*(L13-가정!$C$38)</f>
        <v>0.11464583333333334</v>
      </c>
      <c r="N13" s="19">
        <f t="shared" si="6"/>
        <v>88.232954685743138</v>
      </c>
      <c r="O13" s="20">
        <f>K13+가정!$C$33*M13+N13*L13</f>
        <v>66.230655809566585</v>
      </c>
      <c r="P13" s="21">
        <f>가정!$C$39*(1+D13*가정!$C$13)</f>
        <v>1.3158541666666665</v>
      </c>
      <c r="Q13" s="21">
        <f>1+F13*가정!$C$15</f>
        <v>1.0860000000000001</v>
      </c>
      <c r="R13" s="21">
        <f t="shared" si="0"/>
        <v>1.429017625</v>
      </c>
      <c r="S13" s="20">
        <f t="shared" si="1"/>
        <v>94.644774467179289</v>
      </c>
      <c r="T13" s="19">
        <f>IF(F13=1,가정!$C$16,가정!$C$40)</f>
        <v>29800</v>
      </c>
      <c r="U13" s="20">
        <f t="shared" si="2"/>
        <v>282.04142791219431</v>
      </c>
      <c r="V13" s="20">
        <f>U13/(1-가정!$C$41)*가정!$C$42</f>
        <v>296.88571359178349</v>
      </c>
      <c r="W13" s="19">
        <f>가정!$C$33+N13+K13</f>
        <v>503.80186154456715</v>
      </c>
      <c r="X13" s="19">
        <f t="shared" si="7"/>
        <v>713.80186154456703</v>
      </c>
      <c r="Y13" s="19">
        <f t="shared" si="3"/>
        <v>1217.6037230891343</v>
      </c>
      <c r="Z13" s="20">
        <f t="shared" si="4"/>
        <v>87.149884408084063</v>
      </c>
    </row>
    <row r="14" spans="1:26" x14ac:dyDescent="0.3">
      <c r="A14" s="16">
        <v>11</v>
      </c>
      <c r="B14" s="16">
        <v>2027</v>
      </c>
      <c r="C14" s="16">
        <v>11</v>
      </c>
      <c r="D14" s="17">
        <f>가정!$E$6*MIN(1,MAX(0,(A14-가정!$C$28+1)/가정!$C$30))</f>
        <v>0.125</v>
      </c>
      <c r="E14" s="17">
        <f>IF(가정!$E$7&lt;30000,1,0)*MIN(1,MAX(0,(A14-가정!$C$29+1)/가정!$C$30))</f>
        <v>0.10416666666666667</v>
      </c>
      <c r="F14" s="16">
        <f>IF(가정!$E$7&lt;30000,1,0)*IF(A14&gt;=가정!$C$29,1,0)</f>
        <v>1</v>
      </c>
      <c r="G14" s="17">
        <f>가정!$E$8*MIN(1,MAX(0,(A14-가정!$C$31+1)/가정!$C$32))</f>
        <v>0</v>
      </c>
      <c r="H14" s="18">
        <f>가정!$C$37+D14*가정!$C$14+E14*가정!$C$18</f>
        <v>-4.5416666666666669E-3</v>
      </c>
      <c r="I14" s="17">
        <f t="shared" si="5"/>
        <v>19.050896147013663</v>
      </c>
      <c r="J14" s="17">
        <f>I14*(1+G14*가정!$C$19)</f>
        <v>19.050896147013663</v>
      </c>
      <c r="K14" s="17">
        <f>I14*가정!$C$36*(1+G14*가정!$C$19*가정!$C$24)</f>
        <v>9.5254480735068316</v>
      </c>
      <c r="L14" s="18">
        <f>가정!$C$38+D14*가정!$C$12+E14*가정!$C$17</f>
        <v>0.11545833333333334</v>
      </c>
      <c r="M14" s="18">
        <f>가정!$C$38+가정!$C$23*(L14-가정!$C$38)</f>
        <v>0.11545833333333334</v>
      </c>
      <c r="N14" s="19">
        <f t="shared" si="6"/>
        <v>97.801861544567132</v>
      </c>
      <c r="O14" s="20">
        <f>K14+가정!$C$33*M14+N14*L14</f>
        <v>67.693571337673319</v>
      </c>
      <c r="P14" s="21">
        <f>가정!$C$39*(1+D14*가정!$C$13)</f>
        <v>1.3212249999999999</v>
      </c>
      <c r="Q14" s="21">
        <f>1+F14*가정!$C$15</f>
        <v>1.0860000000000001</v>
      </c>
      <c r="R14" s="21">
        <f t="shared" si="0"/>
        <v>1.4348503500000001</v>
      </c>
      <c r="S14" s="20">
        <f t="shared" si="1"/>
        <v>97.130144526610536</v>
      </c>
      <c r="T14" s="19">
        <f>IF(F14=1,가정!$C$16,가정!$C$40)</f>
        <v>29800</v>
      </c>
      <c r="U14" s="20">
        <f t="shared" si="2"/>
        <v>289.44783068929939</v>
      </c>
      <c r="V14" s="20">
        <f>U14/(1-가정!$C$41)*가정!$C$42</f>
        <v>304.68192704136777</v>
      </c>
      <c r="W14" s="19">
        <f>가정!$C$33+N14+K14</f>
        <v>513.32730961807397</v>
      </c>
      <c r="X14" s="19">
        <f t="shared" si="7"/>
        <v>723.32730961807385</v>
      </c>
      <c r="Y14" s="19">
        <f t="shared" si="3"/>
        <v>1236.6546192361479</v>
      </c>
      <c r="Z14" s="20">
        <f t="shared" si="4"/>
        <v>89.438438790617425</v>
      </c>
    </row>
    <row r="15" spans="1:26" x14ac:dyDescent="0.3">
      <c r="A15" s="22">
        <v>12</v>
      </c>
      <c r="B15" s="22">
        <v>2027</v>
      </c>
      <c r="C15" s="22">
        <v>12</v>
      </c>
      <c r="D15" s="23">
        <f>가정!$E$6*MIN(1,MAX(0,(A15-가정!$C$28+1)/가정!$C$30))</f>
        <v>0.14583333333333334</v>
      </c>
      <c r="E15" s="23">
        <f>IF(가정!$E$7&lt;30000,1,0)*MIN(1,MAX(0,(A15-가정!$C$29+1)/가정!$C$30))</f>
        <v>0.125</v>
      </c>
      <c r="F15" s="22">
        <f>IF(가정!$E$7&lt;30000,1,0)*IF(A15&gt;=가정!$C$29,1,0)</f>
        <v>1</v>
      </c>
      <c r="G15" s="23">
        <f>가정!$E$8*MIN(1,MAX(0,(A15-가정!$C$31+1)/가정!$C$32))</f>
        <v>0</v>
      </c>
      <c r="H15" s="24">
        <f>가정!$C$37+D15*가정!$C$14+E15*가정!$C$18</f>
        <v>-4.4583333333333332E-3</v>
      </c>
      <c r="I15" s="23">
        <f t="shared" si="5"/>
        <v>18.96596090169156</v>
      </c>
      <c r="J15" s="23">
        <f>I15*(1+G15*가정!$C$19)</f>
        <v>18.96596090169156</v>
      </c>
      <c r="K15" s="23">
        <f>I15*가정!$C$36*(1+G15*가정!$C$19*가정!$C$24)</f>
        <v>9.4829804508457798</v>
      </c>
      <c r="L15" s="24">
        <f>가정!$C$38+D15*가정!$C$12+E15*가정!$C$17</f>
        <v>0.11627083333333334</v>
      </c>
      <c r="M15" s="24">
        <f>가정!$C$38+가정!$C$23*(L15-가정!$C$38)</f>
        <v>0.11627083333333334</v>
      </c>
      <c r="N15" s="25">
        <f t="shared" si="6"/>
        <v>107.32730961807397</v>
      </c>
      <c r="O15" s="26">
        <f>K15+가정!$C$33*M15+N15*L15</f>
        <v>69.16797451289726</v>
      </c>
      <c r="P15" s="27">
        <f>가정!$C$39*(1+D15*가정!$C$13)</f>
        <v>1.3265958333333332</v>
      </c>
      <c r="Q15" s="27">
        <f>1+F15*가정!$C$15</f>
        <v>1.0860000000000001</v>
      </c>
      <c r="R15" s="27">
        <f t="shared" si="0"/>
        <v>1.4406830749999999</v>
      </c>
      <c r="S15" s="26">
        <f t="shared" si="1"/>
        <v>99.649130212762444</v>
      </c>
      <c r="T15" s="25">
        <f>IF(F15=1,가정!$C$16,가정!$C$40)</f>
        <v>29800</v>
      </c>
      <c r="U15" s="26">
        <f t="shared" si="2"/>
        <v>296.9544080340321</v>
      </c>
      <c r="V15" s="26">
        <f>U15/(1-가정!$C$41)*가정!$C$42</f>
        <v>312.58358740424433</v>
      </c>
      <c r="W15" s="25">
        <f>가정!$C$33+N15+K15</f>
        <v>522.8102900689197</v>
      </c>
      <c r="X15" s="25">
        <f t="shared" si="7"/>
        <v>732.8102900689197</v>
      </c>
      <c r="Y15" s="25">
        <f t="shared" si="3"/>
        <v>1255.6205801378394</v>
      </c>
      <c r="Z15" s="26">
        <f t="shared" si="4"/>
        <v>91.757946788915689</v>
      </c>
    </row>
    <row r="16" spans="1:26" x14ac:dyDescent="0.3">
      <c r="A16" s="16">
        <v>13</v>
      </c>
      <c r="B16" s="16">
        <v>2028</v>
      </c>
      <c r="C16" s="16">
        <v>1</v>
      </c>
      <c r="D16" s="17">
        <f>가정!$E$6*MIN(1,MAX(0,(A16-가정!$C$28+1)/가정!$C$30))</f>
        <v>0.16666666666666666</v>
      </c>
      <c r="E16" s="17">
        <f>IF(가정!$E$7&lt;30000,1,0)*MIN(1,MAX(0,(A16-가정!$C$29+1)/가정!$C$30))</f>
        <v>0.14583333333333334</v>
      </c>
      <c r="F16" s="16">
        <f>IF(가정!$E$7&lt;30000,1,0)*IF(A16&gt;=가정!$C$29,1,0)</f>
        <v>1</v>
      </c>
      <c r="G16" s="17">
        <f>가정!$E$8*MIN(1,MAX(0,(A16-가정!$C$31+1)/가정!$C$32))</f>
        <v>0</v>
      </c>
      <c r="H16" s="18">
        <f>가정!$C$37+D16*가정!$C$14+E16*가정!$C$18</f>
        <v>-4.3750000000000004E-3</v>
      </c>
      <c r="I16" s="17">
        <f t="shared" si="5"/>
        <v>18.882984822746657</v>
      </c>
      <c r="J16" s="17">
        <f>I16*(1+G16*가정!$C$19)</f>
        <v>18.882984822746657</v>
      </c>
      <c r="K16" s="17">
        <f>I16*가정!$C$36*(1+G16*가정!$C$19*가정!$C$24)</f>
        <v>9.4414924113733285</v>
      </c>
      <c r="L16" s="18">
        <f>가정!$C$38+D16*가정!$C$12+E16*가정!$C$17</f>
        <v>0.11708333333333333</v>
      </c>
      <c r="M16" s="18">
        <f>가정!$C$38+가정!$C$23*(L16-가정!$C$38)</f>
        <v>0.11708333333333333</v>
      </c>
      <c r="N16" s="19">
        <f t="shared" si="6"/>
        <v>116.81029006891976</v>
      </c>
      <c r="O16" s="20">
        <f>K16+가정!$C$33*M16+N16*L16</f>
        <v>70.653863873609353</v>
      </c>
      <c r="P16" s="21">
        <f>가정!$C$39*(1+D16*가정!$C$13)</f>
        <v>1.3319666666666667</v>
      </c>
      <c r="Q16" s="21">
        <f>1+F16*가정!$C$15</f>
        <v>1.0860000000000001</v>
      </c>
      <c r="R16" s="21">
        <f t="shared" si="0"/>
        <v>1.4465158000000002</v>
      </c>
      <c r="S16" s="20">
        <f t="shared" si="1"/>
        <v>102.20193042422515</v>
      </c>
      <c r="T16" s="19">
        <f>IF(F16=1,가정!$C$16,가정!$C$40)</f>
        <v>29800</v>
      </c>
      <c r="U16" s="20">
        <f t="shared" si="2"/>
        <v>304.56175266419098</v>
      </c>
      <c r="V16" s="20">
        <f>U16/(1-가정!$C$41)*가정!$C$42</f>
        <v>320.59131859388526</v>
      </c>
      <c r="W16" s="19">
        <f>가정!$C$33+N16+K16</f>
        <v>532.25178248029317</v>
      </c>
      <c r="X16" s="19">
        <f t="shared" si="7"/>
        <v>742.25178248029295</v>
      </c>
      <c r="Y16" s="19">
        <f t="shared" si="3"/>
        <v>1274.5035649605861</v>
      </c>
      <c r="Z16" s="20">
        <f t="shared" si="4"/>
        <v>94.108591550851884</v>
      </c>
    </row>
    <row r="17" spans="1:26" x14ac:dyDescent="0.3">
      <c r="A17" s="16">
        <v>14</v>
      </c>
      <c r="B17" s="16">
        <v>2028</v>
      </c>
      <c r="C17" s="16">
        <v>2</v>
      </c>
      <c r="D17" s="17">
        <f>가정!$E$6*MIN(1,MAX(0,(A17-가정!$C$28+1)/가정!$C$30))</f>
        <v>0.1875</v>
      </c>
      <c r="E17" s="17">
        <f>IF(가정!$E$7&lt;30000,1,0)*MIN(1,MAX(0,(A17-가정!$C$29+1)/가정!$C$30))</f>
        <v>0.16666666666666666</v>
      </c>
      <c r="F17" s="16">
        <f>IF(가정!$E$7&lt;30000,1,0)*IF(A17&gt;=가정!$C$29,1,0)</f>
        <v>1</v>
      </c>
      <c r="G17" s="17">
        <f>가정!$E$8*MIN(1,MAX(0,(A17-가정!$C$31+1)/가정!$C$32))</f>
        <v>0</v>
      </c>
      <c r="H17" s="18">
        <f>가정!$C$37+D17*가정!$C$14+E17*가정!$C$18</f>
        <v>-4.2916666666666667E-3</v>
      </c>
      <c r="I17" s="17">
        <f t="shared" si="5"/>
        <v>18.801945346215703</v>
      </c>
      <c r="J17" s="17">
        <f>I17*(1+G17*가정!$C$19)</f>
        <v>18.801945346215703</v>
      </c>
      <c r="K17" s="17">
        <f>I17*가정!$C$36*(1+G17*가정!$C$19*가정!$C$24)</f>
        <v>9.4009726731078516</v>
      </c>
      <c r="L17" s="18">
        <f>가정!$C$38+D17*가정!$C$12+E17*가정!$C$17</f>
        <v>0.11789583333333332</v>
      </c>
      <c r="M17" s="18">
        <f>가정!$C$38+가정!$C$23*(L17-가정!$C$38)</f>
        <v>0.11789583333333332</v>
      </c>
      <c r="N17" s="19">
        <f t="shared" si="6"/>
        <v>126.25178248029309</v>
      </c>
      <c r="O17" s="20">
        <f>K17+가정!$C$33*M17+N17*L17</f>
        <v>72.151240111774072</v>
      </c>
      <c r="P17" s="21">
        <f>가정!$C$39*(1+D17*가정!$C$13)</f>
        <v>1.3373375000000001</v>
      </c>
      <c r="Q17" s="21">
        <f>1+F17*가정!$C$15</f>
        <v>1.0860000000000001</v>
      </c>
      <c r="R17" s="21">
        <f t="shared" si="0"/>
        <v>1.4523485250000001</v>
      </c>
      <c r="S17" s="20">
        <f t="shared" si="1"/>
        <v>104.78874715325591</v>
      </c>
      <c r="T17" s="19">
        <f>IF(F17=1,가정!$C$16,가정!$C$40)</f>
        <v>29800</v>
      </c>
      <c r="U17" s="20">
        <f t="shared" si="2"/>
        <v>312.27046651670264</v>
      </c>
      <c r="V17" s="20">
        <f>U17/(1-가정!$C$41)*가정!$C$42</f>
        <v>328.70575422810805</v>
      </c>
      <c r="W17" s="19">
        <f>가정!$C$33+N17+K17</f>
        <v>541.6527551534009</v>
      </c>
      <c r="X17" s="19">
        <f t="shared" si="7"/>
        <v>751.65275515340079</v>
      </c>
      <c r="Y17" s="19">
        <f t="shared" si="3"/>
        <v>1293.3055103068018</v>
      </c>
      <c r="Z17" s="20">
        <f t="shared" si="4"/>
        <v>96.490559072979664</v>
      </c>
    </row>
    <row r="18" spans="1:26" x14ac:dyDescent="0.3">
      <c r="A18" s="16">
        <v>15</v>
      </c>
      <c r="B18" s="16">
        <v>2028</v>
      </c>
      <c r="C18" s="16">
        <v>3</v>
      </c>
      <c r="D18" s="17">
        <f>가정!$E$6*MIN(1,MAX(0,(A18-가정!$C$28+1)/가정!$C$30))</f>
        <v>0.20833333333333334</v>
      </c>
      <c r="E18" s="17">
        <f>IF(가정!$E$7&lt;30000,1,0)*MIN(1,MAX(0,(A18-가정!$C$29+1)/가정!$C$30))</f>
        <v>0.1875</v>
      </c>
      <c r="F18" s="16">
        <f>IF(가정!$E$7&lt;30000,1,0)*IF(A18&gt;=가정!$C$29,1,0)</f>
        <v>1</v>
      </c>
      <c r="G18" s="17">
        <f>가정!$E$8*MIN(1,MAX(0,(A18-가정!$C$31+1)/가정!$C$32))</f>
        <v>0</v>
      </c>
      <c r="H18" s="18">
        <f>가정!$C$37+D18*가정!$C$14+E18*가정!$C$18</f>
        <v>-4.208333333333333E-3</v>
      </c>
      <c r="I18" s="17">
        <f t="shared" si="5"/>
        <v>18.722820492883713</v>
      </c>
      <c r="J18" s="17">
        <f>I18*(1+G18*가정!$C$19)</f>
        <v>18.722820492883713</v>
      </c>
      <c r="K18" s="17">
        <f>I18*가정!$C$36*(1+G18*가정!$C$19*가정!$C$24)</f>
        <v>9.3614102464418565</v>
      </c>
      <c r="L18" s="18">
        <f>가정!$C$38+D18*가정!$C$12+E18*가정!$C$17</f>
        <v>0.11870833333333333</v>
      </c>
      <c r="M18" s="18">
        <f>가정!$C$38+가정!$C$23*(L18-가정!$C$38)</f>
        <v>0.11870833333333333</v>
      </c>
      <c r="N18" s="19">
        <f t="shared" si="6"/>
        <v>135.65275515340093</v>
      </c>
      <c r="O18" s="20">
        <f>K18+가정!$C$33*M18+N18*L18</f>
        <v>73.660106056110152</v>
      </c>
      <c r="P18" s="21">
        <f>가정!$C$39*(1+D18*가정!$C$13)</f>
        <v>1.3427083333333334</v>
      </c>
      <c r="Q18" s="21">
        <f>1+F18*가정!$C$15</f>
        <v>1.0860000000000001</v>
      </c>
      <c r="R18" s="21">
        <f t="shared" si="0"/>
        <v>1.4581812500000002</v>
      </c>
      <c r="S18" s="20">
        <f t="shared" si="1"/>
        <v>107.40978552403129</v>
      </c>
      <c r="T18" s="19">
        <f>IF(F18=1,가정!$C$16,가정!$C$40)</f>
        <v>29800</v>
      </c>
      <c r="U18" s="20">
        <f t="shared" si="2"/>
        <v>320.08116086161323</v>
      </c>
      <c r="V18" s="20">
        <f>U18/(1-가정!$C$41)*가정!$C$42</f>
        <v>336.92753774906657</v>
      </c>
      <c r="W18" s="19">
        <f>가정!$C$33+N18+K18</f>
        <v>551.0141653998428</v>
      </c>
      <c r="X18" s="19">
        <f t="shared" si="7"/>
        <v>761.01416539984257</v>
      </c>
      <c r="Y18" s="19">
        <f t="shared" si="3"/>
        <v>1312.0283307996854</v>
      </c>
      <c r="Z18" s="20">
        <f t="shared" si="4"/>
        <v>98.904038235756246</v>
      </c>
    </row>
    <row r="19" spans="1:26" x14ac:dyDescent="0.3">
      <c r="A19" s="16">
        <v>16</v>
      </c>
      <c r="B19" s="16">
        <v>2028</v>
      </c>
      <c r="C19" s="16">
        <v>4</v>
      </c>
      <c r="D19" s="17">
        <f>가정!$E$6*MIN(1,MAX(0,(A19-가정!$C$28+1)/가정!$C$30))</f>
        <v>0.22916666666666666</v>
      </c>
      <c r="E19" s="17">
        <f>IF(가정!$E$7&lt;30000,1,0)*MIN(1,MAX(0,(A19-가정!$C$29+1)/가정!$C$30))</f>
        <v>0.20833333333333334</v>
      </c>
      <c r="F19" s="16">
        <f>IF(가정!$E$7&lt;30000,1,0)*IF(A19&gt;=가정!$C$29,1,0)</f>
        <v>1</v>
      </c>
      <c r="G19" s="17">
        <f>가정!$E$8*MIN(1,MAX(0,(A19-가정!$C$31+1)/가정!$C$32))</f>
        <v>0</v>
      </c>
      <c r="H19" s="18">
        <f>가정!$C$37+D19*가정!$C$14+E19*가정!$C$18</f>
        <v>-4.1250000000000002E-3</v>
      </c>
      <c r="I19" s="17">
        <f t="shared" si="5"/>
        <v>18.645588858350568</v>
      </c>
      <c r="J19" s="17">
        <f>I19*(1+G19*가정!$C$19)</f>
        <v>18.645588858350568</v>
      </c>
      <c r="K19" s="17">
        <f>I19*가정!$C$36*(1+G19*가정!$C$19*가정!$C$24)</f>
        <v>9.3227944291752838</v>
      </c>
      <c r="L19" s="18">
        <f>가정!$C$38+D19*가정!$C$12+E19*가정!$C$17</f>
        <v>0.11952083333333334</v>
      </c>
      <c r="M19" s="18">
        <f>가정!$C$38+가정!$C$23*(L19-가정!$C$38)</f>
        <v>0.11952083333333334</v>
      </c>
      <c r="N19" s="19">
        <f t="shared" si="6"/>
        <v>145.0141653998428</v>
      </c>
      <c r="O19" s="20">
        <f>K19+가정!$C$33*M19+N19*L19</f>
        <v>75.180466656235666</v>
      </c>
      <c r="P19" s="21">
        <f>가정!$C$39*(1+D19*가정!$C$13)</f>
        <v>1.3480791666666667</v>
      </c>
      <c r="Q19" s="21">
        <f>1+F19*가정!$C$15</f>
        <v>1.0860000000000001</v>
      </c>
      <c r="R19" s="21">
        <f t="shared" si="0"/>
        <v>1.4640139750000001</v>
      </c>
      <c r="S19" s="20">
        <f t="shared" si="1"/>
        <v>110.06525383175054</v>
      </c>
      <c r="T19" s="19">
        <f>IF(F19=1,가정!$C$16,가정!$C$40)</f>
        <v>29800</v>
      </c>
      <c r="U19" s="20">
        <f t="shared" si="2"/>
        <v>327.99445641861661</v>
      </c>
      <c r="V19" s="20">
        <f>U19/(1-가정!$C$41)*가정!$C$42</f>
        <v>345.25732254591225</v>
      </c>
      <c r="W19" s="19">
        <f>가정!$C$33+N19+K19</f>
        <v>560.33695982901804</v>
      </c>
      <c r="X19" s="19">
        <f t="shared" si="7"/>
        <v>770.33695982901793</v>
      </c>
      <c r="Y19" s="19">
        <f t="shared" si="3"/>
        <v>1330.6739196580361</v>
      </c>
      <c r="Z19" s="20">
        <f t="shared" si="4"/>
        <v>101.3492208395493</v>
      </c>
    </row>
    <row r="20" spans="1:26" x14ac:dyDescent="0.3">
      <c r="A20" s="16">
        <v>17</v>
      </c>
      <c r="B20" s="16">
        <v>2028</v>
      </c>
      <c r="C20" s="16">
        <v>5</v>
      </c>
      <c r="D20" s="17">
        <f>가정!$E$6*MIN(1,MAX(0,(A20-가정!$C$28+1)/가정!$C$30))</f>
        <v>0.25</v>
      </c>
      <c r="E20" s="17">
        <f>IF(가정!$E$7&lt;30000,1,0)*MIN(1,MAX(0,(A20-가정!$C$29+1)/가정!$C$30))</f>
        <v>0.22916666666666666</v>
      </c>
      <c r="F20" s="16">
        <f>IF(가정!$E$7&lt;30000,1,0)*IF(A20&gt;=가정!$C$29,1,0)</f>
        <v>1</v>
      </c>
      <c r="G20" s="17">
        <f>가정!$E$8*MIN(1,MAX(0,(A20-가정!$C$31+1)/가정!$C$32))</f>
        <v>0</v>
      </c>
      <c r="H20" s="18">
        <f>가정!$C$37+D20*가정!$C$14+E20*가정!$C$18</f>
        <v>-4.0416666666666674E-3</v>
      </c>
      <c r="I20" s="17">
        <f t="shared" si="5"/>
        <v>18.570229603381399</v>
      </c>
      <c r="J20" s="17">
        <f>I20*(1+G20*가정!$C$19)</f>
        <v>18.570229603381399</v>
      </c>
      <c r="K20" s="17">
        <f>I20*가정!$C$36*(1+G20*가정!$C$19*가정!$C$24)</f>
        <v>9.2851148016906997</v>
      </c>
      <c r="L20" s="18">
        <f>가정!$C$38+D20*가정!$C$12+E20*가정!$C$17</f>
        <v>0.12033333333333333</v>
      </c>
      <c r="M20" s="18">
        <f>가정!$C$38+가정!$C$23*(L20-가정!$C$38)</f>
        <v>0.12033333333333333</v>
      </c>
      <c r="N20" s="19">
        <f t="shared" si="6"/>
        <v>154.33695982901807</v>
      </c>
      <c r="O20" s="20">
        <f>K20+가정!$C$33*M20+N20*L20</f>
        <v>76.71232896778254</v>
      </c>
      <c r="P20" s="21">
        <f>가정!$C$39*(1+D20*가정!$C$13)</f>
        <v>1.35345</v>
      </c>
      <c r="Q20" s="21">
        <f>1+F20*가정!$C$15</f>
        <v>1.0860000000000001</v>
      </c>
      <c r="R20" s="21">
        <f t="shared" si="0"/>
        <v>1.4698467000000002</v>
      </c>
      <c r="S20" s="20">
        <f t="shared" si="1"/>
        <v>112.75536358260959</v>
      </c>
      <c r="T20" s="19">
        <f>IF(F20=1,가정!$C$16,가정!$C$40)</f>
        <v>29800</v>
      </c>
      <c r="U20" s="20">
        <f t="shared" si="2"/>
        <v>336.01098347617659</v>
      </c>
      <c r="V20" s="20">
        <f>U20/(1-가정!$C$41)*가정!$C$42</f>
        <v>353.69577208018592</v>
      </c>
      <c r="W20" s="19">
        <f>가정!$C$33+N20+K20</f>
        <v>569.62207463070877</v>
      </c>
      <c r="X20" s="19">
        <f t="shared" si="7"/>
        <v>779.62207463070865</v>
      </c>
      <c r="Y20" s="19">
        <f t="shared" si="3"/>
        <v>1349.2441492614175</v>
      </c>
      <c r="Z20" s="20">
        <f t="shared" si="4"/>
        <v>103.82630164144528</v>
      </c>
    </row>
    <row r="21" spans="1:26" x14ac:dyDescent="0.3">
      <c r="A21" s="16">
        <v>18</v>
      </c>
      <c r="B21" s="16">
        <v>2028</v>
      </c>
      <c r="C21" s="16">
        <v>6</v>
      </c>
      <c r="D21" s="17">
        <f>가정!$E$6*MIN(1,MAX(0,(A21-가정!$C$28+1)/가정!$C$30))</f>
        <v>0.27083333333333331</v>
      </c>
      <c r="E21" s="17">
        <f>IF(가정!$E$7&lt;30000,1,0)*MIN(1,MAX(0,(A21-가정!$C$29+1)/가정!$C$30))</f>
        <v>0.25</v>
      </c>
      <c r="F21" s="16">
        <f>IF(가정!$E$7&lt;30000,1,0)*IF(A21&gt;=가정!$C$29,1,0)</f>
        <v>1</v>
      </c>
      <c r="G21" s="17">
        <f>가정!$E$8*MIN(1,MAX(0,(A21-가정!$C$31+1)/가정!$C$32))</f>
        <v>0</v>
      </c>
      <c r="H21" s="18">
        <f>가정!$C$37+D21*가정!$C$14+E21*가정!$C$18</f>
        <v>-3.9583333333333328E-3</v>
      </c>
      <c r="I21" s="17">
        <f t="shared" si="5"/>
        <v>18.496722444534683</v>
      </c>
      <c r="J21" s="17">
        <f>I21*(1+G21*가정!$C$19)</f>
        <v>18.496722444534683</v>
      </c>
      <c r="K21" s="17">
        <f>I21*가정!$C$36*(1+G21*가정!$C$19*가정!$C$24)</f>
        <v>9.2483612222673415</v>
      </c>
      <c r="L21" s="18">
        <f>가정!$C$38+D21*가정!$C$12+E21*가정!$C$17</f>
        <v>0.12114583333333334</v>
      </c>
      <c r="M21" s="18">
        <f>가정!$C$38+가정!$C$23*(L21-가정!$C$38)</f>
        <v>0.12114583333333334</v>
      </c>
      <c r="N21" s="19">
        <f t="shared" si="6"/>
        <v>163.62207463070877</v>
      </c>
      <c r="O21" s="20">
        <f>K21+가정!$C$33*M21+N21*L21</f>
        <v>78.255702138466745</v>
      </c>
      <c r="P21" s="21">
        <f>가정!$C$39*(1+D21*가정!$C$13)</f>
        <v>1.3588208333333334</v>
      </c>
      <c r="Q21" s="21">
        <f>1+F21*가정!$C$15</f>
        <v>1.0860000000000001</v>
      </c>
      <c r="R21" s="21">
        <f t="shared" si="0"/>
        <v>1.475679425</v>
      </c>
      <c r="S21" s="20">
        <f t="shared" si="1"/>
        <v>115.48032953466388</v>
      </c>
      <c r="T21" s="19">
        <f>IF(F21=1,가정!$C$16,가정!$C$40)</f>
        <v>29800</v>
      </c>
      <c r="U21" s="20">
        <f t="shared" si="2"/>
        <v>344.13138201329838</v>
      </c>
      <c r="V21" s="20">
        <f>U21/(1-가정!$C$41)*가정!$C$42</f>
        <v>362.24356001399832</v>
      </c>
      <c r="W21" s="19">
        <f>가정!$C$33+N21+K21</f>
        <v>578.87043585297613</v>
      </c>
      <c r="X21" s="19">
        <f t="shared" si="7"/>
        <v>788.87043585297602</v>
      </c>
      <c r="Y21" s="19">
        <f t="shared" si="3"/>
        <v>1367.740871705952</v>
      </c>
      <c r="Z21" s="20">
        <f t="shared" si="4"/>
        <v>106.3354783928765</v>
      </c>
    </row>
    <row r="22" spans="1:26" x14ac:dyDescent="0.3">
      <c r="A22" s="16">
        <v>19</v>
      </c>
      <c r="B22" s="16">
        <v>2028</v>
      </c>
      <c r="C22" s="16">
        <v>7</v>
      </c>
      <c r="D22" s="17">
        <f>가정!$E$6*MIN(1,MAX(0,(A22-가정!$C$28+1)/가정!$C$30))</f>
        <v>0.29166666666666669</v>
      </c>
      <c r="E22" s="17">
        <f>IF(가정!$E$7&lt;30000,1,0)*MIN(1,MAX(0,(A22-가정!$C$29+1)/가정!$C$30))</f>
        <v>0.27083333333333331</v>
      </c>
      <c r="F22" s="16">
        <f>IF(가정!$E$7&lt;30000,1,0)*IF(A22&gt;=가정!$C$29,1,0)</f>
        <v>1</v>
      </c>
      <c r="G22" s="17">
        <f>가정!$E$8*MIN(1,MAX(0,(A22-가정!$C$31+1)/가정!$C$32))</f>
        <v>0</v>
      </c>
      <c r="H22" s="18">
        <f>가정!$C$37+D22*가정!$C$14+E22*가정!$C$18</f>
        <v>-3.875E-3</v>
      </c>
      <c r="I22" s="17">
        <f t="shared" si="5"/>
        <v>18.425047645062111</v>
      </c>
      <c r="J22" s="17">
        <f>I22*(1+G22*가정!$C$19)</f>
        <v>18.425047645062111</v>
      </c>
      <c r="K22" s="17">
        <f>I22*가정!$C$36*(1+G22*가정!$C$19*가정!$C$24)</f>
        <v>9.2125238225310557</v>
      </c>
      <c r="L22" s="18">
        <f>가정!$C$38+D22*가정!$C$12+E22*가정!$C$17</f>
        <v>0.12195833333333334</v>
      </c>
      <c r="M22" s="18">
        <f>가정!$C$38+가정!$C$23*(L22-가정!$C$38)</f>
        <v>0.12195833333333334</v>
      </c>
      <c r="N22" s="19">
        <f t="shared" si="6"/>
        <v>172.8704358529761</v>
      </c>
      <c r="O22" s="20">
        <f>K22+가정!$C$33*M22+N22*L22</f>
        <v>79.810597395100274</v>
      </c>
      <c r="P22" s="21">
        <f>가정!$C$39*(1+D22*가정!$C$13)</f>
        <v>1.3641916666666667</v>
      </c>
      <c r="Q22" s="21">
        <f>1+F22*가정!$C$15</f>
        <v>1.0860000000000001</v>
      </c>
      <c r="R22" s="21">
        <f t="shared" si="0"/>
        <v>1.4815121500000001</v>
      </c>
      <c r="S22" s="20">
        <f t="shared" si="1"/>
        <v>118.24036973959942</v>
      </c>
      <c r="T22" s="19">
        <f>IF(F22=1,가정!$C$16,가정!$C$40)</f>
        <v>29800</v>
      </c>
      <c r="U22" s="20">
        <f t="shared" si="2"/>
        <v>352.35630182400627</v>
      </c>
      <c r="V22" s="20">
        <f>U22/(1-가정!$C$41)*가정!$C$42</f>
        <v>370.90137034105925</v>
      </c>
      <c r="W22" s="19">
        <f>가정!$C$33+N22+K22</f>
        <v>588.08295967550714</v>
      </c>
      <c r="X22" s="19">
        <f t="shared" si="7"/>
        <v>798.08295967550714</v>
      </c>
      <c r="Y22" s="19">
        <f t="shared" si="3"/>
        <v>1386.1659193510143</v>
      </c>
      <c r="Z22" s="20">
        <f t="shared" si="4"/>
        <v>108.87695187808417</v>
      </c>
    </row>
    <row r="23" spans="1:26" x14ac:dyDescent="0.3">
      <c r="A23" s="16">
        <v>20</v>
      </c>
      <c r="B23" s="16">
        <v>2028</v>
      </c>
      <c r="C23" s="16">
        <v>8</v>
      </c>
      <c r="D23" s="17">
        <f>가정!$E$6*MIN(1,MAX(0,(A23-가정!$C$28+1)/가정!$C$30))</f>
        <v>0.3125</v>
      </c>
      <c r="E23" s="17">
        <f>IF(가정!$E$7&lt;30000,1,0)*MIN(1,MAX(0,(A23-가정!$C$29+1)/가정!$C$30))</f>
        <v>0.29166666666666669</v>
      </c>
      <c r="F23" s="16">
        <f>IF(가정!$E$7&lt;30000,1,0)*IF(A23&gt;=가정!$C$29,1,0)</f>
        <v>1</v>
      </c>
      <c r="G23" s="17">
        <f>가정!$E$8*MIN(1,MAX(0,(A23-가정!$C$31+1)/가정!$C$32))</f>
        <v>0</v>
      </c>
      <c r="H23" s="18">
        <f>가정!$C$37+D23*가정!$C$14+E23*가정!$C$18</f>
        <v>-3.7916666666666671E-3</v>
      </c>
      <c r="I23" s="17">
        <f t="shared" si="5"/>
        <v>18.355186006074586</v>
      </c>
      <c r="J23" s="17">
        <f>I23*(1+G23*가정!$C$19)</f>
        <v>18.355186006074586</v>
      </c>
      <c r="K23" s="17">
        <f>I23*가정!$C$36*(1+G23*가정!$C$19*가정!$C$24)</f>
        <v>9.177593003037293</v>
      </c>
      <c r="L23" s="18">
        <f>가정!$C$38+D23*가정!$C$12+E23*가정!$C$17</f>
        <v>0.12277083333333333</v>
      </c>
      <c r="M23" s="18">
        <f>가정!$C$38+가정!$C$23*(L23-가정!$C$38)</f>
        <v>0.12277083333333333</v>
      </c>
      <c r="N23" s="19">
        <f t="shared" si="6"/>
        <v>182.08295967550717</v>
      </c>
      <c r="O23" s="20">
        <f>K23+가정!$C$33*M23+N23*L23</f>
        <v>81.377028031532376</v>
      </c>
      <c r="P23" s="21">
        <f>가정!$C$39*(1+D23*가정!$C$13)</f>
        <v>1.3695625</v>
      </c>
      <c r="Q23" s="21">
        <f>1+F23*가정!$C$15</f>
        <v>1.0860000000000001</v>
      </c>
      <c r="R23" s="21">
        <f t="shared" si="0"/>
        <v>1.4873448750000002</v>
      </c>
      <c r="S23" s="20">
        <f t="shared" si="1"/>
        <v>121.03570558543103</v>
      </c>
      <c r="T23" s="19">
        <f>IF(F23=1,가정!$C$16,가정!$C$40)</f>
        <v>29800</v>
      </c>
      <c r="U23" s="20">
        <f t="shared" si="2"/>
        <v>360.68640264458446</v>
      </c>
      <c r="V23" s="20">
        <f>U23/(1-가정!$C$41)*가정!$C$42</f>
        <v>379.66989752061522</v>
      </c>
      <c r="W23" s="19">
        <f>가정!$C$33+N23+K23</f>
        <v>597.2605526785444</v>
      </c>
      <c r="X23" s="19">
        <f t="shared" si="7"/>
        <v>807.26055267854451</v>
      </c>
      <c r="Y23" s="19">
        <f t="shared" si="3"/>
        <v>1404.5211053570888</v>
      </c>
      <c r="Z23" s="20">
        <f t="shared" si="4"/>
        <v>111.45092595343556</v>
      </c>
    </row>
    <row r="24" spans="1:26" x14ac:dyDescent="0.3">
      <c r="A24" s="16">
        <v>21</v>
      </c>
      <c r="B24" s="16">
        <v>2028</v>
      </c>
      <c r="C24" s="16">
        <v>9</v>
      </c>
      <c r="D24" s="17">
        <f>가정!$E$6*MIN(1,MAX(0,(A24-가정!$C$28+1)/가정!$C$30))</f>
        <v>0.33333333333333331</v>
      </c>
      <c r="E24" s="17">
        <f>IF(가정!$E$7&lt;30000,1,0)*MIN(1,MAX(0,(A24-가정!$C$29+1)/가정!$C$30))</f>
        <v>0.3125</v>
      </c>
      <c r="F24" s="16">
        <f>IF(가정!$E$7&lt;30000,1,0)*IF(A24&gt;=가정!$C$29,1,0)</f>
        <v>1</v>
      </c>
      <c r="G24" s="17">
        <f>가정!$E$8*MIN(1,MAX(0,(A24-가정!$C$31+1)/가정!$C$32))</f>
        <v>0</v>
      </c>
      <c r="H24" s="18">
        <f>가정!$C$37+D24*가정!$C$14+E24*가정!$C$18</f>
        <v>-3.708333333333333E-3</v>
      </c>
      <c r="I24" s="17">
        <f t="shared" si="5"/>
        <v>18.287118857968725</v>
      </c>
      <c r="J24" s="17">
        <f>I24*(1+G24*가정!$C$19)</f>
        <v>18.287118857968725</v>
      </c>
      <c r="K24" s="17">
        <f>I24*가정!$C$36*(1+G24*가정!$C$19*가정!$C$24)</f>
        <v>9.1435594289843625</v>
      </c>
      <c r="L24" s="18">
        <f>가정!$C$38+D24*가정!$C$12+E24*가정!$C$17</f>
        <v>0.12358333333333334</v>
      </c>
      <c r="M24" s="18">
        <f>가정!$C$38+가정!$C$23*(L24-가정!$C$38)</f>
        <v>0.12358333333333334</v>
      </c>
      <c r="N24" s="19">
        <f t="shared" si="6"/>
        <v>191.26055267854446</v>
      </c>
      <c r="O24" s="20">
        <f>K24+가정!$C$33*M24+N24*L24</f>
        <v>82.955009397507808</v>
      </c>
      <c r="P24" s="21">
        <f>가정!$C$39*(1+D24*가정!$C$13)</f>
        <v>1.3749333333333333</v>
      </c>
      <c r="Q24" s="21">
        <f>1+F24*가정!$C$15</f>
        <v>1.0860000000000001</v>
      </c>
      <c r="R24" s="21">
        <f t="shared" si="0"/>
        <v>1.4931776000000001</v>
      </c>
      <c r="S24" s="20">
        <f t="shared" si="1"/>
        <v>123.86656184014817</v>
      </c>
      <c r="T24" s="19">
        <f>IF(F24=1,가정!$C$16,가정!$C$40)</f>
        <v>29800</v>
      </c>
      <c r="U24" s="20">
        <f t="shared" si="2"/>
        <v>369.12235428364153</v>
      </c>
      <c r="V24" s="20">
        <f>U24/(1-가정!$C$41)*가정!$C$42</f>
        <v>388.54984661435952</v>
      </c>
      <c r="W24" s="19">
        <f>가정!$C$33+N24+K24</f>
        <v>606.40411210752882</v>
      </c>
      <c r="X24" s="19">
        <f t="shared" si="7"/>
        <v>816.40411210752882</v>
      </c>
      <c r="Y24" s="19">
        <f t="shared" si="3"/>
        <v>1422.8082242150576</v>
      </c>
      <c r="Z24" s="20">
        <f t="shared" si="4"/>
        <v>114.0576075876134</v>
      </c>
    </row>
    <row r="25" spans="1:26" x14ac:dyDescent="0.3">
      <c r="A25" s="16">
        <v>22</v>
      </c>
      <c r="B25" s="16">
        <v>2028</v>
      </c>
      <c r="C25" s="16">
        <v>10</v>
      </c>
      <c r="D25" s="17">
        <f>가정!$E$6*MIN(1,MAX(0,(A25-가정!$C$28+1)/가정!$C$30))</f>
        <v>0.35416666666666669</v>
      </c>
      <c r="E25" s="17">
        <f>IF(가정!$E$7&lt;30000,1,0)*MIN(1,MAX(0,(A25-가정!$C$29+1)/가정!$C$30))</f>
        <v>0.33333333333333331</v>
      </c>
      <c r="F25" s="16">
        <f>IF(가정!$E$7&lt;30000,1,0)*IF(A25&gt;=가정!$C$29,1,0)</f>
        <v>1</v>
      </c>
      <c r="G25" s="17">
        <f>가정!$E$8*MIN(1,MAX(0,(A25-가정!$C$31+1)/가정!$C$32))</f>
        <v>0</v>
      </c>
      <c r="H25" s="18">
        <f>가정!$C$37+D25*가정!$C$14+E25*가정!$C$18</f>
        <v>-3.6250000000000002E-3</v>
      </c>
      <c r="I25" s="17">
        <f t="shared" si="5"/>
        <v>18.220828052108587</v>
      </c>
      <c r="J25" s="17">
        <f>I25*(1+G25*가정!$C$19)</f>
        <v>18.220828052108587</v>
      </c>
      <c r="K25" s="17">
        <f>I25*가정!$C$36*(1+G25*가정!$C$19*가정!$C$24)</f>
        <v>9.1104140260542934</v>
      </c>
      <c r="L25" s="18">
        <f>가정!$C$38+D25*가정!$C$12+E25*가정!$C$17</f>
        <v>0.12439583333333333</v>
      </c>
      <c r="M25" s="18">
        <f>가정!$C$38+가정!$C$23*(L25-가정!$C$38)</f>
        <v>0.12439583333333333</v>
      </c>
      <c r="N25" s="19">
        <f t="shared" si="6"/>
        <v>200.40411210752882</v>
      </c>
      <c r="O25" s="20">
        <f>K25+가정!$C$33*M25+N25*L25</f>
        <v>84.54455888843043</v>
      </c>
      <c r="P25" s="21">
        <f>가정!$C$39*(1+D25*가정!$C$13)</f>
        <v>1.3803041666666664</v>
      </c>
      <c r="Q25" s="21">
        <f>1+F25*가정!$C$15</f>
        <v>1.0860000000000001</v>
      </c>
      <c r="R25" s="21">
        <f t="shared" si="0"/>
        <v>1.4990103249999998</v>
      </c>
      <c r="S25" s="20">
        <f t="shared" si="1"/>
        <v>126.73316669632771</v>
      </c>
      <c r="T25" s="19">
        <f>IF(F25=1,가정!$C$16,가정!$C$40)</f>
        <v>29800</v>
      </c>
      <c r="U25" s="20">
        <f t="shared" si="2"/>
        <v>377.66483675505657</v>
      </c>
      <c r="V25" s="20">
        <f>U25/(1-가정!$C$41)*가정!$C$42</f>
        <v>397.54193342637535</v>
      </c>
      <c r="W25" s="19">
        <f>가정!$C$33+N25+K25</f>
        <v>615.5145261335831</v>
      </c>
      <c r="X25" s="19">
        <f t="shared" si="7"/>
        <v>825.5145261335831</v>
      </c>
      <c r="Y25" s="19">
        <f t="shared" si="3"/>
        <v>1441.0290522671662</v>
      </c>
      <c r="Z25" s="20">
        <f t="shared" si="4"/>
        <v>116.69720690269587</v>
      </c>
    </row>
    <row r="26" spans="1:26" x14ac:dyDescent="0.3">
      <c r="A26" s="16">
        <v>23</v>
      </c>
      <c r="B26" s="16">
        <v>2028</v>
      </c>
      <c r="C26" s="16">
        <v>11</v>
      </c>
      <c r="D26" s="17">
        <f>가정!$E$6*MIN(1,MAX(0,(A26-가정!$C$28+1)/가정!$C$30))</f>
        <v>0.375</v>
      </c>
      <c r="E26" s="17">
        <f>IF(가정!$E$7&lt;30000,1,0)*MIN(1,MAX(0,(A26-가정!$C$29+1)/가정!$C$30))</f>
        <v>0.35416666666666669</v>
      </c>
      <c r="F26" s="16">
        <f>IF(가정!$E$7&lt;30000,1,0)*IF(A26&gt;=가정!$C$29,1,0)</f>
        <v>1</v>
      </c>
      <c r="G26" s="17">
        <f>가정!$E$8*MIN(1,MAX(0,(A26-가정!$C$31+1)/가정!$C$32))</f>
        <v>0</v>
      </c>
      <c r="H26" s="18">
        <f>가정!$C$37+D26*가정!$C$14+E26*가정!$C$18</f>
        <v>-3.5416666666666669E-3</v>
      </c>
      <c r="I26" s="17">
        <f t="shared" si="5"/>
        <v>18.156295952757368</v>
      </c>
      <c r="J26" s="17">
        <f>I26*(1+G26*가정!$C$19)</f>
        <v>18.156295952757368</v>
      </c>
      <c r="K26" s="17">
        <f>I26*가정!$C$36*(1+G26*가정!$C$19*가정!$C$24)</f>
        <v>9.0781479763786841</v>
      </c>
      <c r="L26" s="18">
        <f>가정!$C$38+D26*가정!$C$12+E26*가정!$C$17</f>
        <v>0.12520833333333334</v>
      </c>
      <c r="M26" s="18">
        <f>가정!$C$38+가정!$C$23*(L26-가정!$C$38)</f>
        <v>0.12520833333333334</v>
      </c>
      <c r="N26" s="19">
        <f t="shared" si="6"/>
        <v>209.5145261335831</v>
      </c>
      <c r="O26" s="20">
        <f>K26+가정!$C$33*M26+N26*L26</f>
        <v>86.14569593602107</v>
      </c>
      <c r="P26" s="21">
        <f>가정!$C$39*(1+D26*가정!$C$13)</f>
        <v>1.3856749999999998</v>
      </c>
      <c r="Q26" s="21">
        <f>1+F26*가정!$C$15</f>
        <v>1.0860000000000001</v>
      </c>
      <c r="R26" s="21">
        <f t="shared" si="0"/>
        <v>1.5048430499999998</v>
      </c>
      <c r="S26" s="20">
        <f t="shared" si="1"/>
        <v>129.63575181673454</v>
      </c>
      <c r="T26" s="19">
        <f>IF(F26=1,가정!$C$16,가정!$C$40)</f>
        <v>29800</v>
      </c>
      <c r="U26" s="20">
        <f t="shared" si="2"/>
        <v>386.31454041386894</v>
      </c>
      <c r="V26" s="20">
        <f>U26/(1-가정!$C$41)*가정!$C$42</f>
        <v>406.64688464617785</v>
      </c>
      <c r="W26" s="19">
        <f>가정!$C$33+N26+K26</f>
        <v>624.59267410996176</v>
      </c>
      <c r="X26" s="19">
        <f t="shared" si="7"/>
        <v>834.59267410996176</v>
      </c>
      <c r="Y26" s="19">
        <f t="shared" si="3"/>
        <v>1459.1853482199235</v>
      </c>
      <c r="Z26" s="20">
        <f t="shared" si="4"/>
        <v>119.36993721614597</v>
      </c>
    </row>
    <row r="27" spans="1:26" x14ac:dyDescent="0.3">
      <c r="A27" s="22">
        <v>24</v>
      </c>
      <c r="B27" s="22">
        <v>2028</v>
      </c>
      <c r="C27" s="22">
        <v>12</v>
      </c>
      <c r="D27" s="23">
        <f>가정!$E$6*MIN(1,MAX(0,(A27-가정!$C$28+1)/가정!$C$30))</f>
        <v>0.39583333333333331</v>
      </c>
      <c r="E27" s="23">
        <f>IF(가정!$E$7&lt;30000,1,0)*MIN(1,MAX(0,(A27-가정!$C$29+1)/가정!$C$30))</f>
        <v>0.375</v>
      </c>
      <c r="F27" s="22">
        <f>IF(가정!$E$7&lt;30000,1,0)*IF(A27&gt;=가정!$C$29,1,0)</f>
        <v>1</v>
      </c>
      <c r="G27" s="23">
        <f>가정!$E$8*MIN(1,MAX(0,(A27-가정!$C$31+1)/가정!$C$32))</f>
        <v>0</v>
      </c>
      <c r="H27" s="24">
        <f>가정!$C$37+D27*가정!$C$14+E27*가정!$C$18</f>
        <v>-3.4583333333333332E-3</v>
      </c>
      <c r="I27" s="23">
        <f t="shared" si="5"/>
        <v>18.093505429254083</v>
      </c>
      <c r="J27" s="23">
        <f>I27*(1+G27*가정!$C$19)</f>
        <v>18.093505429254083</v>
      </c>
      <c r="K27" s="23">
        <f>I27*가정!$C$36*(1+G27*가정!$C$19*가정!$C$24)</f>
        <v>9.0467527146270417</v>
      </c>
      <c r="L27" s="24">
        <f>가정!$C$38+D27*가정!$C$12+E27*가정!$C$17</f>
        <v>0.12602083333333333</v>
      </c>
      <c r="M27" s="24">
        <f>가정!$C$38+가정!$C$23*(L27-가정!$C$38)</f>
        <v>0.12602083333333333</v>
      </c>
      <c r="N27" s="25">
        <f t="shared" si="6"/>
        <v>218.59267410996179</v>
      </c>
      <c r="O27" s="26">
        <f>K27+가정!$C$33*M27+N27*L27</f>
        <v>87.758441999859514</v>
      </c>
      <c r="P27" s="27">
        <f>가정!$C$39*(1+D27*가정!$C$13)</f>
        <v>1.3910458333333331</v>
      </c>
      <c r="Q27" s="27">
        <f>1+F27*가정!$C$15</f>
        <v>1.0860000000000001</v>
      </c>
      <c r="R27" s="27">
        <f t="shared" si="0"/>
        <v>1.5106757749999999</v>
      </c>
      <c r="S27" s="26">
        <f t="shared" si="1"/>
        <v>132.57455238093033</v>
      </c>
      <c r="T27" s="25">
        <f>IF(F27=1,가정!$C$16,가정!$C$40)</f>
        <v>29800</v>
      </c>
      <c r="U27" s="26">
        <f t="shared" si="2"/>
        <v>395.07216609517241</v>
      </c>
      <c r="V27" s="26">
        <f>U27/(1-가정!$C$41)*가정!$C$42</f>
        <v>415.86543799491835</v>
      </c>
      <c r="W27" s="25">
        <f>가정!$C$33+N27+K27</f>
        <v>633.63942682458878</v>
      </c>
      <c r="X27" s="25">
        <f t="shared" si="7"/>
        <v>843.63942682458878</v>
      </c>
      <c r="Y27" s="25">
        <f t="shared" si="3"/>
        <v>1477.2788536491776</v>
      </c>
      <c r="Z27" s="26">
        <f t="shared" si="4"/>
        <v>122.07601508372956</v>
      </c>
    </row>
    <row r="28" spans="1:26" x14ac:dyDescent="0.3">
      <c r="A28" s="16">
        <v>25</v>
      </c>
      <c r="B28" s="16">
        <v>2029</v>
      </c>
      <c r="C28" s="16">
        <v>1</v>
      </c>
      <c r="D28" s="17">
        <f>가정!$E$6*MIN(1,MAX(0,(A28-가정!$C$28+1)/가정!$C$30))</f>
        <v>0.41666666666666669</v>
      </c>
      <c r="E28" s="17">
        <f>IF(가정!$E$7&lt;30000,1,0)*MIN(1,MAX(0,(A28-가정!$C$29+1)/가정!$C$30))</f>
        <v>0.39583333333333331</v>
      </c>
      <c r="F28" s="16">
        <f>IF(가정!$E$7&lt;30000,1,0)*IF(A28&gt;=가정!$C$29,1,0)</f>
        <v>1</v>
      </c>
      <c r="G28" s="17">
        <f>가정!$E$8*MIN(1,MAX(0,(A28-가정!$C$31+1)/가정!$C$32))</f>
        <v>0</v>
      </c>
      <c r="H28" s="18">
        <f>가정!$C$37+D28*가정!$C$14+E28*가정!$C$18</f>
        <v>-3.375E-3</v>
      </c>
      <c r="I28" s="17">
        <f t="shared" si="5"/>
        <v>18.03243984843035</v>
      </c>
      <c r="J28" s="17">
        <f>I28*(1+G28*가정!$C$19)</f>
        <v>18.03243984843035</v>
      </c>
      <c r="K28" s="17">
        <f>I28*가정!$C$36*(1+G28*가정!$C$19*가정!$C$24)</f>
        <v>9.016219924215175</v>
      </c>
      <c r="L28" s="18">
        <f>가정!$C$38+D28*가정!$C$12+E28*가정!$C$17</f>
        <v>0.12683333333333333</v>
      </c>
      <c r="M28" s="18">
        <f>가정!$C$38+가정!$C$23*(L28-가정!$C$38)</f>
        <v>0.12683333333333333</v>
      </c>
      <c r="N28" s="19">
        <f t="shared" si="6"/>
        <v>227.63942682458884</v>
      </c>
      <c r="O28" s="20">
        <f>K28+가정!$C$33*M28+N28*L28</f>
        <v>89.382820559800521</v>
      </c>
      <c r="P28" s="21">
        <f>가정!$C$39*(1+D28*가정!$C$13)</f>
        <v>1.3964166666666664</v>
      </c>
      <c r="Q28" s="21">
        <f>1+F28*가정!$C$15</f>
        <v>1.0860000000000001</v>
      </c>
      <c r="R28" s="21">
        <f t="shared" si="0"/>
        <v>1.5165084999999998</v>
      </c>
      <c r="S28" s="20">
        <f t="shared" si="1"/>
        <v>135.54980713291224</v>
      </c>
      <c r="T28" s="19">
        <f>IF(F28=1,가정!$C$16,가정!$C$40)</f>
        <v>29800</v>
      </c>
      <c r="U28" s="20">
        <f t="shared" si="2"/>
        <v>403.93842525607846</v>
      </c>
      <c r="V28" s="20">
        <f>U28/(1-가정!$C$41)*가정!$C$42</f>
        <v>425.19834237481945</v>
      </c>
      <c r="W28" s="19">
        <f>가정!$C$33+N28+K28</f>
        <v>642.65564674880397</v>
      </c>
      <c r="X28" s="19">
        <f t="shared" si="7"/>
        <v>852.65564674880397</v>
      </c>
      <c r="Y28" s="19">
        <f t="shared" si="3"/>
        <v>1495.3112934976079</v>
      </c>
      <c r="Z28" s="20">
        <f t="shared" si="4"/>
        <v>124.81566034338142</v>
      </c>
    </row>
    <row r="29" spans="1:26" x14ac:dyDescent="0.3">
      <c r="A29" s="16">
        <v>26</v>
      </c>
      <c r="B29" s="16">
        <v>2029</v>
      </c>
      <c r="C29" s="16">
        <v>2</v>
      </c>
      <c r="D29" s="17">
        <f>가정!$E$6*MIN(1,MAX(0,(A29-가정!$C$28+1)/가정!$C$30))</f>
        <v>0.4375</v>
      </c>
      <c r="E29" s="17">
        <f>IF(가정!$E$7&lt;30000,1,0)*MIN(1,MAX(0,(A29-가정!$C$29+1)/가정!$C$30))</f>
        <v>0.41666666666666669</v>
      </c>
      <c r="F29" s="16">
        <f>IF(가정!$E$7&lt;30000,1,0)*IF(A29&gt;=가정!$C$29,1,0)</f>
        <v>1</v>
      </c>
      <c r="G29" s="17">
        <f>가정!$E$8*MIN(1,MAX(0,(A29-가정!$C$31+1)/가정!$C$32))</f>
        <v>0</v>
      </c>
      <c r="H29" s="18">
        <f>가정!$C$37+D29*가정!$C$14+E29*가정!$C$18</f>
        <v>-3.2916666666666667E-3</v>
      </c>
      <c r="I29" s="17">
        <f t="shared" si="5"/>
        <v>17.9730830672626</v>
      </c>
      <c r="J29" s="17">
        <f>I29*(1+G29*가정!$C$19)</f>
        <v>17.9730830672626</v>
      </c>
      <c r="K29" s="17">
        <f>I29*가정!$C$36*(1+G29*가정!$C$19*가정!$C$24)</f>
        <v>8.9865415336312999</v>
      </c>
      <c r="L29" s="18">
        <f>가정!$C$38+D29*가정!$C$12+E29*가정!$C$17</f>
        <v>0.12764583333333335</v>
      </c>
      <c r="M29" s="18">
        <f>가정!$C$38+가정!$C$23*(L29-가정!$C$38)</f>
        <v>0.12764583333333335</v>
      </c>
      <c r="N29" s="19">
        <f t="shared" si="6"/>
        <v>236.655646748804</v>
      </c>
      <c r="O29" s="20">
        <f>K29+가정!$C$33*M29+N29*L29</f>
        <v>91.018857109254697</v>
      </c>
      <c r="P29" s="21">
        <f>가정!$C$39*(1+D29*가정!$C$13)</f>
        <v>1.4017874999999997</v>
      </c>
      <c r="Q29" s="21">
        <f>1+F29*가정!$C$15</f>
        <v>1.0860000000000001</v>
      </c>
      <c r="R29" s="21">
        <f t="shared" si="0"/>
        <v>1.5223412249999999</v>
      </c>
      <c r="S29" s="20">
        <f t="shared" si="1"/>
        <v>138.56175842980275</v>
      </c>
      <c r="T29" s="19">
        <f>IF(F29=1,가정!$C$16,가정!$C$40)</f>
        <v>29800</v>
      </c>
      <c r="U29" s="20">
        <f t="shared" si="2"/>
        <v>412.91404012081216</v>
      </c>
      <c r="V29" s="20">
        <f>U29/(1-가정!$C$41)*가정!$C$42</f>
        <v>434.64635802190753</v>
      </c>
      <c r="W29" s="19">
        <f>가정!$C$33+N29+K29</f>
        <v>651.64218828243531</v>
      </c>
      <c r="X29" s="19">
        <f t="shared" si="7"/>
        <v>861.6421882824352</v>
      </c>
      <c r="Y29" s="19">
        <f t="shared" si="3"/>
        <v>1513.2843765648704</v>
      </c>
      <c r="Z29" s="20">
        <f t="shared" si="4"/>
        <v>127.58909616003935</v>
      </c>
    </row>
    <row r="30" spans="1:26" x14ac:dyDescent="0.3">
      <c r="A30" s="16">
        <v>27</v>
      </c>
      <c r="B30" s="16">
        <v>2029</v>
      </c>
      <c r="C30" s="16">
        <v>3</v>
      </c>
      <c r="D30" s="17">
        <f>가정!$E$6*MIN(1,MAX(0,(A30-가정!$C$28+1)/가정!$C$30))</f>
        <v>0.45833333333333331</v>
      </c>
      <c r="E30" s="17">
        <f>IF(가정!$E$7&lt;30000,1,0)*MIN(1,MAX(0,(A30-가정!$C$29+1)/가정!$C$30))</f>
        <v>0.4375</v>
      </c>
      <c r="F30" s="16">
        <f>IF(가정!$E$7&lt;30000,1,0)*IF(A30&gt;=가정!$C$29,1,0)</f>
        <v>1</v>
      </c>
      <c r="G30" s="17">
        <f>가정!$E$8*MIN(1,MAX(0,(A30-가정!$C$31+1)/가정!$C$32))</f>
        <v>0</v>
      </c>
      <c r="H30" s="18">
        <f>가정!$C$37+D30*가정!$C$14+E30*가정!$C$18</f>
        <v>-3.2083333333333339E-3</v>
      </c>
      <c r="I30" s="17">
        <f t="shared" si="5"/>
        <v>17.915419425755132</v>
      </c>
      <c r="J30" s="17">
        <f>I30*(1+G30*가정!$C$19)</f>
        <v>17.915419425755132</v>
      </c>
      <c r="K30" s="17">
        <f>I30*가정!$C$36*(1+G30*가정!$C$19*가정!$C$24)</f>
        <v>8.9577097128775662</v>
      </c>
      <c r="L30" s="18">
        <f>가정!$C$38+D30*가정!$C$12+E30*가정!$C$17</f>
        <v>0.12845833333333334</v>
      </c>
      <c r="M30" s="18">
        <f>가정!$C$38+가정!$C$23*(L30-가정!$C$38)</f>
        <v>0.12845833333333334</v>
      </c>
      <c r="N30" s="19">
        <f t="shared" si="6"/>
        <v>245.64218828243531</v>
      </c>
      <c r="O30" s="20">
        <f>K30+가정!$C$33*M30+N30*L30</f>
        <v>92.666579149325415</v>
      </c>
      <c r="P30" s="21">
        <f>가정!$C$39*(1+D30*가정!$C$13)</f>
        <v>1.4071583333333335</v>
      </c>
      <c r="Q30" s="21">
        <f>1+F30*가정!$C$15</f>
        <v>1.0860000000000001</v>
      </c>
      <c r="R30" s="21">
        <f t="shared" si="0"/>
        <v>1.5281739500000002</v>
      </c>
      <c r="S30" s="20">
        <f t="shared" si="1"/>
        <v>141.61065229161227</v>
      </c>
      <c r="T30" s="19">
        <f>IF(F30=1,가정!$C$16,가정!$C$40)</f>
        <v>29800</v>
      </c>
      <c r="U30" s="20">
        <f t="shared" si="2"/>
        <v>421.99974382900456</v>
      </c>
      <c r="V30" s="20">
        <f>U30/(1-가정!$C$41)*가정!$C$42</f>
        <v>444.21025666211006</v>
      </c>
      <c r="W30" s="19">
        <f>가정!$C$33+N30+K30</f>
        <v>660.59989799531286</v>
      </c>
      <c r="X30" s="19">
        <f t="shared" si="7"/>
        <v>870.59989799531274</v>
      </c>
      <c r="Y30" s="19">
        <f t="shared" si="3"/>
        <v>1531.1997959906257</v>
      </c>
      <c r="Z30" s="20">
        <f t="shared" si="4"/>
        <v>130.39654907146618</v>
      </c>
    </row>
    <row r="31" spans="1:26" x14ac:dyDescent="0.3">
      <c r="A31" s="16">
        <v>28</v>
      </c>
      <c r="B31" s="16">
        <v>2029</v>
      </c>
      <c r="C31" s="16">
        <v>4</v>
      </c>
      <c r="D31" s="17">
        <f>가정!$E$6*MIN(1,MAX(0,(A31-가정!$C$28+1)/가정!$C$30))</f>
        <v>0.47916666666666669</v>
      </c>
      <c r="E31" s="17">
        <f>IF(가정!$E$7&lt;30000,1,0)*MIN(1,MAX(0,(A31-가정!$C$29+1)/가정!$C$30))</f>
        <v>0.45833333333333331</v>
      </c>
      <c r="F31" s="16">
        <f>IF(가정!$E$7&lt;30000,1,0)*IF(A31&gt;=가정!$C$29,1,0)</f>
        <v>1</v>
      </c>
      <c r="G31" s="17">
        <f>가정!$E$8*MIN(1,MAX(0,(A31-가정!$C$31+1)/가정!$C$32))</f>
        <v>0</v>
      </c>
      <c r="H31" s="18">
        <f>가정!$C$37+D31*가정!$C$14+E31*가정!$C$18</f>
        <v>-3.1249999999999997E-3</v>
      </c>
      <c r="I31" s="17">
        <f t="shared" si="5"/>
        <v>17.859433740049646</v>
      </c>
      <c r="J31" s="17">
        <f>I31*(1+G31*가정!$C$19)</f>
        <v>17.859433740049646</v>
      </c>
      <c r="K31" s="17">
        <f>I31*가정!$C$36*(1+G31*가정!$C$19*가정!$C$24)</f>
        <v>8.9297168700248228</v>
      </c>
      <c r="L31" s="18">
        <f>가정!$C$38+D31*가정!$C$12+E31*가정!$C$17</f>
        <v>0.12927083333333333</v>
      </c>
      <c r="M31" s="18">
        <f>가정!$C$38+가정!$C$23*(L31-가정!$C$38)</f>
        <v>0.12927083333333333</v>
      </c>
      <c r="N31" s="19">
        <f t="shared" si="6"/>
        <v>254.59989799531289</v>
      </c>
      <c r="O31" s="20">
        <f>K31+가정!$C$33*M31+N31*L31</f>
        <v>94.326016183793911</v>
      </c>
      <c r="P31" s="21">
        <f>가정!$C$39*(1+D31*가정!$C$13)</f>
        <v>1.4125291666666666</v>
      </c>
      <c r="Q31" s="21">
        <f>1+F31*가정!$C$15</f>
        <v>1.0860000000000001</v>
      </c>
      <c r="R31" s="21">
        <f t="shared" si="0"/>
        <v>1.5340066750000001</v>
      </c>
      <c r="S31" s="20">
        <f t="shared" si="1"/>
        <v>144.69673845209789</v>
      </c>
      <c r="T31" s="19">
        <f>IF(F31=1,가정!$C$16,가정!$C$40)</f>
        <v>29800</v>
      </c>
      <c r="U31" s="20">
        <f t="shared" si="2"/>
        <v>431.19628058725169</v>
      </c>
      <c r="V31" s="20">
        <f>U31/(1-가정!$C$41)*가정!$C$42</f>
        <v>453.8908216707913</v>
      </c>
      <c r="W31" s="19">
        <f>가정!$C$33+N31+K31</f>
        <v>669.52961486533763</v>
      </c>
      <c r="X31" s="19">
        <f t="shared" si="7"/>
        <v>879.52961486533763</v>
      </c>
      <c r="Y31" s="19">
        <f t="shared" si="3"/>
        <v>1549.0592297306753</v>
      </c>
      <c r="Z31" s="20">
        <f t="shared" si="4"/>
        <v>133.23824903508091</v>
      </c>
    </row>
    <row r="32" spans="1:26" x14ac:dyDescent="0.3">
      <c r="A32" s="16">
        <v>29</v>
      </c>
      <c r="B32" s="16">
        <v>2029</v>
      </c>
      <c r="C32" s="16">
        <v>5</v>
      </c>
      <c r="D32" s="17">
        <f>가정!$E$6*MIN(1,MAX(0,(A32-가정!$C$28+1)/가정!$C$30))</f>
        <v>0.5</v>
      </c>
      <c r="E32" s="17">
        <f>IF(가정!$E$7&lt;30000,1,0)*MIN(1,MAX(0,(A32-가정!$C$29+1)/가정!$C$30))</f>
        <v>0.47916666666666669</v>
      </c>
      <c r="F32" s="16">
        <f>IF(가정!$E$7&lt;30000,1,0)*IF(A32&gt;=가정!$C$29,1,0)</f>
        <v>1</v>
      </c>
      <c r="G32" s="17">
        <f>가정!$E$8*MIN(1,MAX(0,(A32-가정!$C$31+1)/가정!$C$32))</f>
        <v>0</v>
      </c>
      <c r="H32" s="18">
        <f>가정!$C$37+D32*가정!$C$14+E32*가정!$C$18</f>
        <v>-3.0416666666666665E-3</v>
      </c>
      <c r="I32" s="17">
        <f t="shared" si="5"/>
        <v>17.805111295756994</v>
      </c>
      <c r="J32" s="17">
        <f>I32*(1+G32*가정!$C$19)</f>
        <v>17.805111295756994</v>
      </c>
      <c r="K32" s="17">
        <f>I32*가정!$C$36*(1+G32*가정!$C$19*가정!$C$24)</f>
        <v>8.9025556478784971</v>
      </c>
      <c r="L32" s="18">
        <f>가정!$C$38+D32*가정!$C$12+E32*가정!$C$17</f>
        <v>0.13008333333333333</v>
      </c>
      <c r="M32" s="18">
        <f>가정!$C$38+가정!$C$23*(L32-가정!$C$38)</f>
        <v>0.13008333333333333</v>
      </c>
      <c r="N32" s="19">
        <f t="shared" si="6"/>
        <v>263.52961486533769</v>
      </c>
      <c r="O32" s="20">
        <f>K32+가정!$C$33*M32+N32*L32</f>
        <v>95.997199714944514</v>
      </c>
      <c r="P32" s="21">
        <f>가정!$C$39*(1+D32*가정!$C$13)</f>
        <v>1.4178999999999999</v>
      </c>
      <c r="Q32" s="21">
        <f>1+F32*가정!$C$15</f>
        <v>1.0860000000000001</v>
      </c>
      <c r="R32" s="21">
        <f t="shared" si="0"/>
        <v>1.5398394</v>
      </c>
      <c r="S32" s="20">
        <f t="shared" si="1"/>
        <v>147.82027041074033</v>
      </c>
      <c r="T32" s="19">
        <f>IF(F32=1,가정!$C$16,가정!$C$40)</f>
        <v>29800</v>
      </c>
      <c r="U32" s="20">
        <f t="shared" si="2"/>
        <v>440.50440582400614</v>
      </c>
      <c r="V32" s="20">
        <f>U32/(1-가정!$C$41)*가정!$C$42</f>
        <v>463.68884823579594</v>
      </c>
      <c r="W32" s="19">
        <f>가정!$C$33+N32+K32</f>
        <v>678.43217051321608</v>
      </c>
      <c r="X32" s="19">
        <f t="shared" si="7"/>
        <v>888.43217051321619</v>
      </c>
      <c r="Y32" s="19">
        <f t="shared" si="3"/>
        <v>1566.8643410264322</v>
      </c>
      <c r="Z32" s="20">
        <f t="shared" si="4"/>
        <v>136.11442947581983</v>
      </c>
    </row>
    <row r="33" spans="1:26" x14ac:dyDescent="0.3">
      <c r="A33" s="16">
        <v>30</v>
      </c>
      <c r="B33" s="16">
        <v>2029</v>
      </c>
      <c r="C33" s="16">
        <v>6</v>
      </c>
      <c r="D33" s="17">
        <f>가정!$E$6*MIN(1,MAX(0,(A33-가정!$C$28+1)/가정!$C$30))</f>
        <v>0.52083333333333337</v>
      </c>
      <c r="E33" s="17">
        <f>IF(가정!$E$7&lt;30000,1,0)*MIN(1,MAX(0,(A33-가정!$C$29+1)/가정!$C$30))</f>
        <v>0.5</v>
      </c>
      <c r="F33" s="16">
        <f>IF(가정!$E$7&lt;30000,1,0)*IF(A33&gt;=가정!$C$29,1,0)</f>
        <v>1</v>
      </c>
      <c r="G33" s="17">
        <f>가정!$E$8*MIN(1,MAX(0,(A33-가정!$C$31+1)/가정!$C$32))</f>
        <v>0</v>
      </c>
      <c r="H33" s="18">
        <f>가정!$C$37+D33*가정!$C$14+E33*가정!$C$18</f>
        <v>-2.9583333333333328E-3</v>
      </c>
      <c r="I33" s="17">
        <f t="shared" si="5"/>
        <v>17.752437841507046</v>
      </c>
      <c r="J33" s="17">
        <f>I33*(1+G33*가정!$C$19)</f>
        <v>17.752437841507046</v>
      </c>
      <c r="K33" s="17">
        <f>I33*가정!$C$36*(1+G33*가정!$C$19*가정!$C$24)</f>
        <v>8.8762189207535229</v>
      </c>
      <c r="L33" s="18">
        <f>가정!$C$38+D33*가정!$C$12+E33*가정!$C$17</f>
        <v>0.13089583333333335</v>
      </c>
      <c r="M33" s="18">
        <f>가정!$C$38+가정!$C$23*(L33-가정!$C$38)</f>
        <v>0.13089583333333335</v>
      </c>
      <c r="N33" s="19">
        <f t="shared" si="6"/>
        <v>272.43217051321619</v>
      </c>
      <c r="O33" s="20">
        <f>K33+가정!$C$33*M33+N33*L33</f>
        <v>97.680163240223067</v>
      </c>
      <c r="P33" s="21">
        <f>가정!$C$39*(1+D33*가정!$C$13)</f>
        <v>1.4232708333333333</v>
      </c>
      <c r="Q33" s="21">
        <f>1+F33*가정!$C$15</f>
        <v>1.0860000000000001</v>
      </c>
      <c r="R33" s="21">
        <f t="shared" si="0"/>
        <v>1.5456721250000001</v>
      </c>
      <c r="S33" s="20">
        <f t="shared" si="1"/>
        <v>150.98150548586247</v>
      </c>
      <c r="T33" s="19">
        <f>IF(F33=1,가정!$C$16,가정!$C$40)</f>
        <v>29800</v>
      </c>
      <c r="U33" s="20">
        <f t="shared" si="2"/>
        <v>449.92488634787014</v>
      </c>
      <c r="V33" s="20">
        <f>U33/(1-가정!$C$41)*가정!$C$42</f>
        <v>473.60514352407387</v>
      </c>
      <c r="W33" s="19">
        <f>가정!$C$33+N33+K33</f>
        <v>687.30838943396975</v>
      </c>
      <c r="X33" s="19">
        <f t="shared" si="7"/>
        <v>897.30838943396964</v>
      </c>
      <c r="Y33" s="19">
        <f t="shared" si="3"/>
        <v>1584.6167788679395</v>
      </c>
      <c r="Z33" s="20">
        <f t="shared" si="4"/>
        <v>139.0253273350483</v>
      </c>
    </row>
    <row r="34" spans="1:26" x14ac:dyDescent="0.3">
      <c r="A34" s="16">
        <v>31</v>
      </c>
      <c r="B34" s="16">
        <v>2029</v>
      </c>
      <c r="C34" s="16">
        <v>7</v>
      </c>
      <c r="D34" s="17">
        <f>가정!$E$6*MIN(1,MAX(0,(A34-가정!$C$28+1)/가정!$C$30))</f>
        <v>0.54166666666666663</v>
      </c>
      <c r="E34" s="17">
        <f>IF(가정!$E$7&lt;30000,1,0)*MIN(1,MAX(0,(A34-가정!$C$29+1)/가정!$C$30))</f>
        <v>0.52083333333333337</v>
      </c>
      <c r="F34" s="16">
        <f>IF(가정!$E$7&lt;30000,1,0)*IF(A34&gt;=가정!$C$29,1,0)</f>
        <v>1</v>
      </c>
      <c r="G34" s="17">
        <f>가정!$E$8*MIN(1,MAX(0,(A34-가정!$C$31+1)/가정!$C$32))</f>
        <v>0</v>
      </c>
      <c r="H34" s="18">
        <f>가정!$C$37+D34*가정!$C$14+E34*가정!$C$18</f>
        <v>-2.8750000000000004E-3</v>
      </c>
      <c r="I34" s="17">
        <f t="shared" si="5"/>
        <v>17.701399582712714</v>
      </c>
      <c r="J34" s="17">
        <f>I34*(1+G34*가정!$C$19)</f>
        <v>17.701399582712714</v>
      </c>
      <c r="K34" s="17">
        <f>I34*가정!$C$36*(1+G34*가정!$C$19*가정!$C$24)</f>
        <v>8.850699791356357</v>
      </c>
      <c r="L34" s="18">
        <f>가정!$C$38+D34*가정!$C$12+E34*가정!$C$17</f>
        <v>0.13170833333333334</v>
      </c>
      <c r="M34" s="18">
        <f>가정!$C$38+가정!$C$23*(L34-가정!$C$38)</f>
        <v>0.13170833333333334</v>
      </c>
      <c r="N34" s="19">
        <f t="shared" si="6"/>
        <v>281.30838943396969</v>
      </c>
      <c r="O34" s="20">
        <f>K34+가정!$C$33*M34+N34*L34</f>
        <v>99.374942249722125</v>
      </c>
      <c r="P34" s="21">
        <f>가정!$C$39*(1+D34*가정!$C$13)</f>
        <v>1.4286416666666666</v>
      </c>
      <c r="Q34" s="21">
        <f>1+F34*가정!$C$15</f>
        <v>1.0860000000000001</v>
      </c>
      <c r="R34" s="21">
        <f t="shared" si="0"/>
        <v>1.5515048499999999</v>
      </c>
      <c r="S34" s="20">
        <f t="shared" si="1"/>
        <v>154.18070486891378</v>
      </c>
      <c r="T34" s="19">
        <f>IF(F34=1,가정!$C$16,가정!$C$40)</f>
        <v>29800</v>
      </c>
      <c r="U34" s="20">
        <f t="shared" si="2"/>
        <v>459.45850050936303</v>
      </c>
      <c r="V34" s="20">
        <f>U34/(1-가정!$C$41)*가정!$C$42</f>
        <v>483.64052685196111</v>
      </c>
      <c r="W34" s="19">
        <f>가정!$C$33+N34+K34</f>
        <v>696.15908922532606</v>
      </c>
      <c r="X34" s="19">
        <f t="shared" si="7"/>
        <v>906.15908922532606</v>
      </c>
      <c r="Y34" s="19">
        <f t="shared" si="3"/>
        <v>1602.3181784506521</v>
      </c>
      <c r="Z34" s="20">
        <f t="shared" si="4"/>
        <v>141.97118312054675</v>
      </c>
    </row>
    <row r="35" spans="1:26" x14ac:dyDescent="0.3">
      <c r="A35" s="16">
        <v>32</v>
      </c>
      <c r="B35" s="16">
        <v>2029</v>
      </c>
      <c r="C35" s="16">
        <v>8</v>
      </c>
      <c r="D35" s="17">
        <f>가정!$E$6*MIN(1,MAX(0,(A35-가정!$C$28+1)/가정!$C$30))</f>
        <v>0.5625</v>
      </c>
      <c r="E35" s="17">
        <f>IF(가정!$E$7&lt;30000,1,0)*MIN(1,MAX(0,(A35-가정!$C$29+1)/가정!$C$30))</f>
        <v>0.54166666666666663</v>
      </c>
      <c r="F35" s="16">
        <f>IF(가정!$E$7&lt;30000,1,0)*IF(A35&gt;=가정!$C$29,1,0)</f>
        <v>1</v>
      </c>
      <c r="G35" s="17">
        <f>가정!$E$8*MIN(1,MAX(0,(A35-가정!$C$31+1)/가정!$C$32))</f>
        <v>0</v>
      </c>
      <c r="H35" s="18">
        <f>가정!$C$37+D35*가정!$C$14+E35*가정!$C$18</f>
        <v>-2.7916666666666667E-3</v>
      </c>
      <c r="I35" s="17">
        <f t="shared" si="5"/>
        <v>17.651983175544309</v>
      </c>
      <c r="J35" s="17">
        <f>I35*(1+G35*가정!$C$19)</f>
        <v>17.651983175544309</v>
      </c>
      <c r="K35" s="17">
        <f>I35*가정!$C$36*(1+G35*가정!$C$19*가정!$C$24)</f>
        <v>8.8259915877721546</v>
      </c>
      <c r="L35" s="18">
        <f>가정!$C$38+D35*가정!$C$12+E35*가정!$C$17</f>
        <v>0.13252083333333334</v>
      </c>
      <c r="M35" s="18">
        <f>가정!$C$38+가정!$C$23*(L35-가정!$C$38)</f>
        <v>0.13252083333333334</v>
      </c>
      <c r="N35" s="19">
        <f t="shared" si="6"/>
        <v>290.15908922532606</v>
      </c>
      <c r="O35" s="20">
        <f>K35+가정!$C$33*M35+N35*L35</f>
        <v>101.08157422448673</v>
      </c>
      <c r="P35" s="21">
        <f>가정!$C$39*(1+D35*가정!$C$13)</f>
        <v>1.4340124999999999</v>
      </c>
      <c r="Q35" s="21">
        <f>1+F35*가정!$C$15</f>
        <v>1.0860000000000001</v>
      </c>
      <c r="R35" s="21">
        <f t="shared" si="0"/>
        <v>1.557337575</v>
      </c>
      <c r="S35" s="20">
        <f t="shared" si="1"/>
        <v>157.41813367994467</v>
      </c>
      <c r="T35" s="19">
        <f>IF(F35=1,가정!$C$16,가정!$C$40)</f>
        <v>29800</v>
      </c>
      <c r="U35" s="20">
        <f t="shared" si="2"/>
        <v>469.10603836623517</v>
      </c>
      <c r="V35" s="20">
        <f>U35/(1-가정!$C$41)*가정!$C$42</f>
        <v>493.79582985919495</v>
      </c>
      <c r="W35" s="19">
        <f>가정!$C$33+N35+K35</f>
        <v>704.98508081309819</v>
      </c>
      <c r="X35" s="19">
        <f t="shared" si="7"/>
        <v>914.98508081309819</v>
      </c>
      <c r="Y35" s="19">
        <f t="shared" si="3"/>
        <v>1619.9701616261964</v>
      </c>
      <c r="Z35" s="20">
        <f t="shared" si="4"/>
        <v>144.95224095759175</v>
      </c>
    </row>
    <row r="36" spans="1:26" x14ac:dyDescent="0.3">
      <c r="A36" s="16">
        <v>33</v>
      </c>
      <c r="B36" s="16">
        <v>2029</v>
      </c>
      <c r="C36" s="16">
        <v>9</v>
      </c>
      <c r="D36" s="17">
        <f>가정!$E$6*MIN(1,MAX(0,(A36-가정!$C$28+1)/가정!$C$30))</f>
        <v>0.58333333333333337</v>
      </c>
      <c r="E36" s="17">
        <f>IF(가정!$E$7&lt;30000,1,0)*MIN(1,MAX(0,(A36-가정!$C$29+1)/가정!$C$30))</f>
        <v>0.5625</v>
      </c>
      <c r="F36" s="16">
        <f>IF(가정!$E$7&lt;30000,1,0)*IF(A36&gt;=가정!$C$29,1,0)</f>
        <v>1</v>
      </c>
      <c r="G36" s="17">
        <f>가정!$E$8*MIN(1,MAX(0,(A36-가정!$C$31+1)/가정!$C$32))</f>
        <v>0</v>
      </c>
      <c r="H36" s="18">
        <f>가정!$C$37+D36*가정!$C$14+E36*가정!$C$18</f>
        <v>-2.7083333333333334E-3</v>
      </c>
      <c r="I36" s="17">
        <f t="shared" si="5"/>
        <v>17.604175721110543</v>
      </c>
      <c r="J36" s="17">
        <f>I36*(1+G36*가정!$C$19)</f>
        <v>17.604175721110543</v>
      </c>
      <c r="K36" s="17">
        <f>I36*가정!$C$36*(1+G36*가정!$C$19*가정!$C$24)</f>
        <v>8.8020878605552717</v>
      </c>
      <c r="L36" s="18">
        <f>가정!$C$38+D36*가정!$C$12+E36*가정!$C$17</f>
        <v>0.13333333333333333</v>
      </c>
      <c r="M36" s="18">
        <f>가정!$C$38+가정!$C$23*(L36-가정!$C$38)</f>
        <v>0.13333333333333333</v>
      </c>
      <c r="N36" s="19">
        <f t="shared" si="6"/>
        <v>298.98508081309819</v>
      </c>
      <c r="O36" s="20">
        <f>K36+가정!$C$33*M36+N36*L36</f>
        <v>102.80009863563502</v>
      </c>
      <c r="P36" s="21">
        <f>가정!$C$39*(1+D36*가정!$C$13)</f>
        <v>1.4393833333333332</v>
      </c>
      <c r="Q36" s="21">
        <f>1+F36*가정!$C$15</f>
        <v>1.0860000000000001</v>
      </c>
      <c r="R36" s="21">
        <f t="shared" ref="R36:R63" si="8">P36*Q36</f>
        <v>1.5631702999999999</v>
      </c>
      <c r="S36" s="20">
        <f t="shared" ref="S36:S63" si="9">O36*R36</f>
        <v>160.69406102429519</v>
      </c>
      <c r="T36" s="19">
        <f>IF(F36=1,가정!$C$16,가정!$C$40)</f>
        <v>29800</v>
      </c>
      <c r="U36" s="20">
        <f t="shared" ref="U36:U63" si="10">S36*T36/10000</f>
        <v>478.86830185239967</v>
      </c>
      <c r="V36" s="20">
        <f>U36/(1-가정!$C$41)*가정!$C$42</f>
        <v>504.07189668673652</v>
      </c>
      <c r="W36" s="19">
        <f>가정!$C$33+N36+K36</f>
        <v>713.78716867365347</v>
      </c>
      <c r="X36" s="19">
        <f t="shared" si="7"/>
        <v>923.78716867365347</v>
      </c>
      <c r="Y36" s="19">
        <f t="shared" ref="Y36:Y63" si="11">W36+X36</f>
        <v>1637.5743373473069</v>
      </c>
      <c r="Z36" s="20">
        <f t="shared" ref="Z36:Z63" si="12">O36*P36</f>
        <v>147.96874864115577</v>
      </c>
    </row>
    <row r="37" spans="1:26" x14ac:dyDescent="0.3">
      <c r="A37" s="16">
        <v>34</v>
      </c>
      <c r="B37" s="16">
        <v>2029</v>
      </c>
      <c r="C37" s="16">
        <v>10</v>
      </c>
      <c r="D37" s="17">
        <f>가정!$E$6*MIN(1,MAX(0,(A37-가정!$C$28+1)/가정!$C$30))</f>
        <v>0.60416666666666663</v>
      </c>
      <c r="E37" s="17">
        <f>IF(가정!$E$7&lt;30000,1,0)*MIN(1,MAX(0,(A37-가정!$C$29+1)/가정!$C$30))</f>
        <v>0.58333333333333337</v>
      </c>
      <c r="F37" s="16">
        <f>IF(가정!$E$7&lt;30000,1,0)*IF(A37&gt;=가정!$C$29,1,0)</f>
        <v>1</v>
      </c>
      <c r="G37" s="17">
        <f>가정!$E$8*MIN(1,MAX(0,(A37-가정!$C$31+1)/가정!$C$32))</f>
        <v>0</v>
      </c>
      <c r="H37" s="18">
        <f>가정!$C$37+D37*가정!$C$14+E37*가정!$C$18</f>
        <v>-2.6250000000000006E-3</v>
      </c>
      <c r="I37" s="17">
        <f t="shared" ref="I37:I63" si="13">I36*(1+H37)</f>
        <v>17.55796475984263</v>
      </c>
      <c r="J37" s="17">
        <f>I37*(1+G37*가정!$C$19)</f>
        <v>17.55796475984263</v>
      </c>
      <c r="K37" s="17">
        <f>I37*가정!$C$36*(1+G37*가정!$C$19*가정!$C$24)</f>
        <v>8.7789823799213149</v>
      </c>
      <c r="L37" s="18">
        <f>가정!$C$38+D37*가정!$C$12+E37*가정!$C$17</f>
        <v>0.13414583333333333</v>
      </c>
      <c r="M37" s="18">
        <f>가정!$C$38+가정!$C$23*(L37-가정!$C$38)</f>
        <v>0.13414583333333333</v>
      </c>
      <c r="N37" s="19">
        <f t="shared" ref="N37:N63" si="14">N36+K36</f>
        <v>307.78716867365347</v>
      </c>
      <c r="O37" s="20">
        <f>K37+가정!$C$33*M37+N37*L37</f>
        <v>104.53055694428912</v>
      </c>
      <c r="P37" s="21">
        <f>가정!$C$39*(1+D37*가정!$C$13)</f>
        <v>1.4447541666666666</v>
      </c>
      <c r="Q37" s="21">
        <f>1+F37*가정!$C$15</f>
        <v>1.0860000000000001</v>
      </c>
      <c r="R37" s="21">
        <f t="shared" si="8"/>
        <v>1.569003025</v>
      </c>
      <c r="S37" s="20">
        <f t="shared" si="9"/>
        <v>164.00876005052439</v>
      </c>
      <c r="T37" s="19">
        <f>IF(F37=1,가정!$C$16,가정!$C$40)</f>
        <v>29800</v>
      </c>
      <c r="U37" s="20">
        <f t="shared" si="10"/>
        <v>488.74610495056265</v>
      </c>
      <c r="V37" s="20">
        <f>U37/(1-가정!$C$41)*가정!$C$42</f>
        <v>514.46958415848701</v>
      </c>
      <c r="W37" s="19">
        <f>가정!$C$33+N37+K37</f>
        <v>722.5661510535748</v>
      </c>
      <c r="X37" s="19">
        <f t="shared" ref="X37:X63" si="15">X36+J37-K37</f>
        <v>932.5661510535748</v>
      </c>
      <c r="Y37" s="19">
        <f t="shared" si="11"/>
        <v>1655.1323021071496</v>
      </c>
      <c r="Z37" s="20">
        <f t="shared" si="12"/>
        <v>151.02095768924895</v>
      </c>
    </row>
    <row r="38" spans="1:26" x14ac:dyDescent="0.3">
      <c r="A38" s="16">
        <v>35</v>
      </c>
      <c r="B38" s="16">
        <v>2029</v>
      </c>
      <c r="C38" s="16">
        <v>11</v>
      </c>
      <c r="D38" s="17">
        <f>가정!$E$6*MIN(1,MAX(0,(A38-가정!$C$28+1)/가정!$C$30))</f>
        <v>0.625</v>
      </c>
      <c r="E38" s="17">
        <f>IF(가정!$E$7&lt;30000,1,0)*MIN(1,MAX(0,(A38-가정!$C$29+1)/가정!$C$30))</f>
        <v>0.60416666666666663</v>
      </c>
      <c r="F38" s="16">
        <f>IF(가정!$E$7&lt;30000,1,0)*IF(A38&gt;=가정!$C$29,1,0)</f>
        <v>1</v>
      </c>
      <c r="G38" s="17">
        <f>가정!$E$8*MIN(1,MAX(0,(A38-가정!$C$31+1)/가정!$C$32))</f>
        <v>0</v>
      </c>
      <c r="H38" s="18">
        <f>가정!$C$37+D38*가정!$C$14+E38*가정!$C$18</f>
        <v>-2.5416666666666669E-3</v>
      </c>
      <c r="I38" s="17">
        <f t="shared" si="13"/>
        <v>17.51333826607803</v>
      </c>
      <c r="J38" s="17">
        <f>I38*(1+G38*가정!$C$19)</f>
        <v>17.51333826607803</v>
      </c>
      <c r="K38" s="17">
        <f>I38*가정!$C$36*(1+G38*가정!$C$19*가정!$C$24)</f>
        <v>8.756669133039015</v>
      </c>
      <c r="L38" s="18">
        <f>가정!$C$38+D38*가정!$C$12+E38*가정!$C$17</f>
        <v>0.13495833333333332</v>
      </c>
      <c r="M38" s="18">
        <f>가정!$C$38+가정!$C$23*(L38-가정!$C$38)</f>
        <v>0.13495833333333332</v>
      </c>
      <c r="N38" s="19">
        <f t="shared" si="14"/>
        <v>316.5661510535748</v>
      </c>
      <c r="O38" s="20">
        <f>K38+가정!$C$33*M38+N38*L38</f>
        <v>106.27299260231104</v>
      </c>
      <c r="P38" s="21">
        <f>가정!$C$39*(1+D38*가정!$C$13)</f>
        <v>1.4501249999999999</v>
      </c>
      <c r="Q38" s="21">
        <f>1+F38*가정!$C$15</f>
        <v>1.0860000000000001</v>
      </c>
      <c r="R38" s="21">
        <f t="shared" si="8"/>
        <v>1.5748357500000001</v>
      </c>
      <c r="S38" s="20">
        <f t="shared" si="9"/>
        <v>167.36250800960497</v>
      </c>
      <c r="T38" s="19">
        <f>IF(F38=1,가정!$C$16,가정!$C$40)</f>
        <v>29800</v>
      </c>
      <c r="U38" s="20">
        <f t="shared" si="10"/>
        <v>498.74027386862281</v>
      </c>
      <c r="V38" s="20">
        <f>U38/(1-가정!$C$41)*가정!$C$42</f>
        <v>524.9897619669714</v>
      </c>
      <c r="W38" s="19">
        <f>가정!$C$33+N38+K38</f>
        <v>731.32282018661385</v>
      </c>
      <c r="X38" s="19">
        <f t="shared" si="15"/>
        <v>941.32282018661374</v>
      </c>
      <c r="Y38" s="19">
        <f t="shared" si="11"/>
        <v>1672.6456403732277</v>
      </c>
      <c r="Z38" s="20">
        <f t="shared" si="12"/>
        <v>154.10912339742629</v>
      </c>
    </row>
    <row r="39" spans="1:26" x14ac:dyDescent="0.3">
      <c r="A39" s="22">
        <v>36</v>
      </c>
      <c r="B39" s="22">
        <v>2029</v>
      </c>
      <c r="C39" s="22">
        <v>12</v>
      </c>
      <c r="D39" s="23">
        <f>가정!$E$6*MIN(1,MAX(0,(A39-가정!$C$28+1)/가정!$C$30))</f>
        <v>0.64583333333333337</v>
      </c>
      <c r="E39" s="23">
        <f>IF(가정!$E$7&lt;30000,1,0)*MIN(1,MAX(0,(A39-가정!$C$29+1)/가정!$C$30))</f>
        <v>0.625</v>
      </c>
      <c r="F39" s="22">
        <f>IF(가정!$E$7&lt;30000,1,0)*IF(A39&gt;=가정!$C$29,1,0)</f>
        <v>1</v>
      </c>
      <c r="G39" s="23">
        <f>가정!$E$8*MIN(1,MAX(0,(A39-가정!$C$31+1)/가정!$C$32))</f>
        <v>0</v>
      </c>
      <c r="H39" s="24">
        <f>가정!$C$37+D39*가정!$C$14+E39*가정!$C$18</f>
        <v>-2.4583333333333332E-3</v>
      </c>
      <c r="I39" s="23">
        <f t="shared" si="13"/>
        <v>17.470284642840589</v>
      </c>
      <c r="J39" s="23">
        <f>I39*(1+G39*가정!$C$19)</f>
        <v>17.470284642840589</v>
      </c>
      <c r="K39" s="23">
        <f>I39*가정!$C$36*(1+G39*가정!$C$19*가정!$C$24)</f>
        <v>8.7351423214202946</v>
      </c>
      <c r="L39" s="24">
        <f>가정!$C$38+D39*가정!$C$12+E39*가정!$C$17</f>
        <v>0.13577083333333334</v>
      </c>
      <c r="M39" s="24">
        <f>가정!$C$38+가정!$C$23*(L39-가정!$C$38)</f>
        <v>0.13577083333333334</v>
      </c>
      <c r="N39" s="25">
        <f t="shared" si="14"/>
        <v>325.3228201866138</v>
      </c>
      <c r="O39" s="26">
        <f>K39+가정!$C$33*M39+N39*L39</f>
        <v>108.02745105384034</v>
      </c>
      <c r="P39" s="27">
        <f>가정!$C$39*(1+D39*가정!$C$13)</f>
        <v>1.4554958333333332</v>
      </c>
      <c r="Q39" s="27">
        <f>1+F39*가정!$C$15</f>
        <v>1.0860000000000001</v>
      </c>
      <c r="R39" s="27">
        <f t="shared" si="8"/>
        <v>1.580668475</v>
      </c>
      <c r="S39" s="26">
        <f t="shared" si="9"/>
        <v>170.75558631541094</v>
      </c>
      <c r="T39" s="25">
        <f>IF(F39=1,가정!$C$16,가정!$C$40)</f>
        <v>29800</v>
      </c>
      <c r="U39" s="26">
        <f t="shared" si="10"/>
        <v>508.85164721992464</v>
      </c>
      <c r="V39" s="26">
        <f>U39/(1-가정!$C$41)*가정!$C$42</f>
        <v>535.63331286307857</v>
      </c>
      <c r="W39" s="25">
        <f>가정!$C$33+N39+K39</f>
        <v>740.05796250803417</v>
      </c>
      <c r="X39" s="25">
        <f t="shared" si="15"/>
        <v>950.05796250803405</v>
      </c>
      <c r="Y39" s="25">
        <f t="shared" si="11"/>
        <v>1690.1159250160681</v>
      </c>
      <c r="Z39" s="26">
        <f t="shared" si="12"/>
        <v>157.23350489448521</v>
      </c>
    </row>
    <row r="40" spans="1:26" x14ac:dyDescent="0.3">
      <c r="A40" s="16">
        <v>37</v>
      </c>
      <c r="B40" s="16">
        <v>2030</v>
      </c>
      <c r="C40" s="16">
        <v>1</v>
      </c>
      <c r="D40" s="17">
        <f>가정!$E$6*MIN(1,MAX(0,(A40-가정!$C$28+1)/가정!$C$30))</f>
        <v>0.66666666666666663</v>
      </c>
      <c r="E40" s="17">
        <f>IF(가정!$E$7&lt;30000,1,0)*MIN(1,MAX(0,(A40-가정!$C$29+1)/가정!$C$30))</f>
        <v>0.64583333333333337</v>
      </c>
      <c r="F40" s="16">
        <f>IF(가정!$E$7&lt;30000,1,0)*IF(A40&gt;=가정!$C$29,1,0)</f>
        <v>1</v>
      </c>
      <c r="G40" s="17">
        <f>가정!$E$8*MIN(1,MAX(0,(A40-가정!$C$31+1)/가정!$C$32))</f>
        <v>0</v>
      </c>
      <c r="H40" s="18">
        <f>가정!$C$37+D40*가정!$C$14+E40*가정!$C$18</f>
        <v>-2.3750000000000004E-3</v>
      </c>
      <c r="I40" s="17">
        <f t="shared" si="13"/>
        <v>17.428792716813842</v>
      </c>
      <c r="J40" s="17">
        <f>I40*(1+G40*가정!$C$19)</f>
        <v>17.428792716813842</v>
      </c>
      <c r="K40" s="17">
        <f>I40*가정!$C$36*(1+G40*가정!$C$19*가정!$C$24)</f>
        <v>8.7143963584069208</v>
      </c>
      <c r="L40" s="18">
        <f>가정!$C$38+D40*가정!$C$12+E40*가정!$C$17</f>
        <v>0.13658333333333333</v>
      </c>
      <c r="M40" s="18">
        <f>가정!$C$38+가정!$C$23*(L40-가정!$C$38)</f>
        <v>0.13658333333333333</v>
      </c>
      <c r="N40" s="19">
        <f t="shared" si="14"/>
        <v>334.05796250803411</v>
      </c>
      <c r="O40" s="20">
        <f>K40+가정!$C$33*M40+N40*L40</f>
        <v>109.79397973762923</v>
      </c>
      <c r="P40" s="21">
        <f>가정!$C$39*(1+D40*가정!$C$13)</f>
        <v>1.4608666666666665</v>
      </c>
      <c r="Q40" s="21">
        <f>1+F40*가정!$C$15</f>
        <v>1.0860000000000001</v>
      </c>
      <c r="R40" s="21">
        <f t="shared" si="8"/>
        <v>1.5865012000000001</v>
      </c>
      <c r="S40" s="20">
        <f t="shared" si="9"/>
        <v>174.18828060652447</v>
      </c>
      <c r="T40" s="19">
        <f>IF(F40=1,가정!$C$16,가정!$C$40)</f>
        <v>29800</v>
      </c>
      <c r="U40" s="20">
        <f t="shared" si="10"/>
        <v>519.08107620744295</v>
      </c>
      <c r="V40" s="20">
        <f>U40/(1-가정!$C$41)*가정!$C$42</f>
        <v>546.40113284993993</v>
      </c>
      <c r="W40" s="19">
        <f>가정!$C$33+N40+K40</f>
        <v>748.77235886644098</v>
      </c>
      <c r="X40" s="19">
        <f t="shared" si="15"/>
        <v>958.77235886644098</v>
      </c>
      <c r="Y40" s="19">
        <f t="shared" si="11"/>
        <v>1707.544717732882</v>
      </c>
      <c r="Z40" s="20">
        <f t="shared" si="12"/>
        <v>160.39436519937794</v>
      </c>
    </row>
    <row r="41" spans="1:26" x14ac:dyDescent="0.3">
      <c r="A41" s="16">
        <v>38</v>
      </c>
      <c r="B41" s="16">
        <v>2030</v>
      </c>
      <c r="C41" s="16">
        <v>2</v>
      </c>
      <c r="D41" s="17">
        <f>가정!$E$6*MIN(1,MAX(0,(A41-가정!$C$28+1)/가정!$C$30))</f>
        <v>0.6875</v>
      </c>
      <c r="E41" s="17">
        <f>IF(가정!$E$7&lt;30000,1,0)*MIN(1,MAX(0,(A41-가정!$C$29+1)/가정!$C$30))</f>
        <v>0.66666666666666663</v>
      </c>
      <c r="F41" s="16">
        <f>IF(가정!$E$7&lt;30000,1,0)*IF(A41&gt;=가정!$C$29,1,0)</f>
        <v>1</v>
      </c>
      <c r="G41" s="17">
        <f>가정!$E$8*MIN(1,MAX(0,(A41-가정!$C$31+1)/가정!$C$32))</f>
        <v>0</v>
      </c>
      <c r="H41" s="18">
        <f>가정!$C$37+D41*가정!$C$14+E41*가정!$C$18</f>
        <v>-2.2916666666666667E-3</v>
      </c>
      <c r="I41" s="17">
        <f t="shared" si="13"/>
        <v>17.388851733504477</v>
      </c>
      <c r="J41" s="17">
        <f>I41*(1+G41*가정!$C$19)</f>
        <v>17.388851733504477</v>
      </c>
      <c r="K41" s="17">
        <f>I41*가정!$C$36*(1+G41*가정!$C$19*가정!$C$24)</f>
        <v>8.6944258667522387</v>
      </c>
      <c r="L41" s="18">
        <f>가정!$C$38+D41*가정!$C$12+E41*가정!$C$17</f>
        <v>0.13739583333333333</v>
      </c>
      <c r="M41" s="18">
        <f>가정!$C$38+가정!$C$23*(L41-가정!$C$38)</f>
        <v>0.13739583333333333</v>
      </c>
      <c r="N41" s="19">
        <f t="shared" si="14"/>
        <v>342.77235886644104</v>
      </c>
      <c r="O41" s="20">
        <f>K41+가정!$C$33*M41+N41*L41</f>
        <v>111.57262809017263</v>
      </c>
      <c r="P41" s="21">
        <f>가정!$C$39*(1+D41*가정!$C$13)</f>
        <v>1.4662374999999999</v>
      </c>
      <c r="Q41" s="21">
        <f>1+F41*가정!$C$15</f>
        <v>1.0860000000000001</v>
      </c>
      <c r="R41" s="21">
        <f t="shared" si="8"/>
        <v>1.5923339249999999</v>
      </c>
      <c r="S41" s="20">
        <f t="shared" si="9"/>
        <v>177.66088080938982</v>
      </c>
      <c r="T41" s="19">
        <f>IF(F41=1,가정!$C$16,가정!$C$40)</f>
        <v>29800</v>
      </c>
      <c r="U41" s="20">
        <f t="shared" si="10"/>
        <v>529.42942481198168</v>
      </c>
      <c r="V41" s="20">
        <f>U41/(1-가정!$C$41)*가정!$C$42</f>
        <v>557.29413138103337</v>
      </c>
      <c r="W41" s="19">
        <f>가정!$C$33+N41+K41</f>
        <v>757.46678473319321</v>
      </c>
      <c r="X41" s="19">
        <f t="shared" si="15"/>
        <v>967.46678473319321</v>
      </c>
      <c r="Y41" s="19">
        <f t="shared" si="11"/>
        <v>1724.9335694663864</v>
      </c>
      <c r="Z41" s="20">
        <f t="shared" si="12"/>
        <v>163.59197127936449</v>
      </c>
    </row>
    <row r="42" spans="1:26" x14ac:dyDescent="0.3">
      <c r="A42" s="16">
        <v>39</v>
      </c>
      <c r="B42" s="16">
        <v>2030</v>
      </c>
      <c r="C42" s="16">
        <v>3</v>
      </c>
      <c r="D42" s="17">
        <f>가정!$E$6*MIN(1,MAX(0,(A42-가정!$C$28+1)/가정!$C$30))</f>
        <v>0.70833333333333337</v>
      </c>
      <c r="E42" s="17">
        <f>IF(가정!$E$7&lt;30000,1,0)*MIN(1,MAX(0,(A42-가정!$C$29+1)/가정!$C$30))</f>
        <v>0.6875</v>
      </c>
      <c r="F42" s="16">
        <f>IF(가정!$E$7&lt;30000,1,0)*IF(A42&gt;=가정!$C$29,1,0)</f>
        <v>1</v>
      </c>
      <c r="G42" s="17">
        <f>가정!$E$8*MIN(1,MAX(0,(A42-가정!$C$31+1)/가정!$C$32))</f>
        <v>0</v>
      </c>
      <c r="H42" s="18">
        <f>가정!$C$37+D42*가정!$C$14+E42*가정!$C$18</f>
        <v>-2.2083333333333334E-3</v>
      </c>
      <c r="I42" s="17">
        <f t="shared" si="13"/>
        <v>17.350451352592987</v>
      </c>
      <c r="J42" s="17">
        <f>I42*(1+G42*가정!$C$19)</f>
        <v>17.350451352592987</v>
      </c>
      <c r="K42" s="17">
        <f>I42*가정!$C$36*(1+G42*가정!$C$19*가정!$C$24)</f>
        <v>8.6752256762964937</v>
      </c>
      <c r="L42" s="18">
        <f>가정!$C$38+D42*가정!$C$12+E42*가정!$C$17</f>
        <v>0.13820833333333335</v>
      </c>
      <c r="M42" s="18">
        <f>가정!$C$38+가정!$C$23*(L42-가정!$C$38)</f>
        <v>0.13820833333333335</v>
      </c>
      <c r="N42" s="19">
        <f t="shared" si="14"/>
        <v>351.46678473319326</v>
      </c>
      <c r="O42" s="20">
        <f>K42+가정!$C$33*M42+N42*L42</f>
        <v>113.36344754962994</v>
      </c>
      <c r="P42" s="21">
        <f>가정!$C$39*(1+D42*가정!$C$13)</f>
        <v>1.4716083333333332</v>
      </c>
      <c r="Q42" s="21">
        <f>1+F42*가정!$C$15</f>
        <v>1.0860000000000001</v>
      </c>
      <c r="R42" s="21">
        <f t="shared" si="8"/>
        <v>1.59816665</v>
      </c>
      <c r="S42" s="20">
        <f t="shared" si="9"/>
        <v>181.1736812028428</v>
      </c>
      <c r="T42" s="19">
        <f>IF(F42=1,가정!$C$16,가정!$C$40)</f>
        <v>29800</v>
      </c>
      <c r="U42" s="20">
        <f t="shared" si="10"/>
        <v>539.89756998447149</v>
      </c>
      <c r="V42" s="20">
        <f>U42/(1-가정!$C$41)*가정!$C$42</f>
        <v>568.31323156260157</v>
      </c>
      <c r="W42" s="19">
        <f>가정!$C$33+N42+K42</f>
        <v>766.14201040948967</v>
      </c>
      <c r="X42" s="19">
        <f t="shared" si="15"/>
        <v>976.14201040948979</v>
      </c>
      <c r="Y42" s="19">
        <f t="shared" si="11"/>
        <v>1742.2840208189796</v>
      </c>
      <c r="Z42" s="20">
        <f t="shared" si="12"/>
        <v>166.82659410943165</v>
      </c>
    </row>
    <row r="43" spans="1:26" x14ac:dyDescent="0.3">
      <c r="A43" s="16">
        <v>40</v>
      </c>
      <c r="B43" s="16">
        <v>2030</v>
      </c>
      <c r="C43" s="16">
        <v>4</v>
      </c>
      <c r="D43" s="17">
        <f>가정!$E$6*MIN(1,MAX(0,(A43-가정!$C$28+1)/가정!$C$30))</f>
        <v>0.72916666666666663</v>
      </c>
      <c r="E43" s="17">
        <f>IF(가정!$E$7&lt;30000,1,0)*MIN(1,MAX(0,(A43-가정!$C$29+1)/가정!$C$30))</f>
        <v>0.70833333333333337</v>
      </c>
      <c r="F43" s="16">
        <f>IF(가정!$E$7&lt;30000,1,0)*IF(A43&gt;=가정!$C$29,1,0)</f>
        <v>1</v>
      </c>
      <c r="G43" s="17">
        <f>가정!$E$8*MIN(1,MAX(0,(A43-가정!$C$31+1)/가정!$C$32))</f>
        <v>0</v>
      </c>
      <c r="H43" s="18">
        <f>가정!$C$37+D43*가정!$C$14+E43*가정!$C$18</f>
        <v>-2.1250000000000002E-3</v>
      </c>
      <c r="I43" s="17">
        <f t="shared" si="13"/>
        <v>17.313581643468726</v>
      </c>
      <c r="J43" s="17">
        <f>I43*(1+G43*가정!$C$19)</f>
        <v>17.313581643468726</v>
      </c>
      <c r="K43" s="17">
        <f>I43*가정!$C$36*(1+G43*가정!$C$19*가정!$C$24)</f>
        <v>8.6567908217343632</v>
      </c>
      <c r="L43" s="18">
        <f>가정!$C$38+D43*가정!$C$12+E43*가정!$C$17</f>
        <v>0.13902083333333334</v>
      </c>
      <c r="M43" s="18">
        <f>가정!$C$38+가정!$C$23*(L43-가정!$C$38)</f>
        <v>0.13902083333333334</v>
      </c>
      <c r="N43" s="19">
        <f t="shared" si="14"/>
        <v>360.14201040948979</v>
      </c>
      <c r="O43" s="20">
        <f>K43+가정!$C$33*M43+N43*L43</f>
        <v>115.16649156053697</v>
      </c>
      <c r="P43" s="21">
        <f>가정!$C$39*(1+D43*가정!$C$13)</f>
        <v>1.4769791666666665</v>
      </c>
      <c r="Q43" s="21">
        <f>1+F43*가정!$C$15</f>
        <v>1.0860000000000001</v>
      </c>
      <c r="R43" s="21">
        <f t="shared" si="8"/>
        <v>1.6039993749999999</v>
      </c>
      <c r="S43" s="20">
        <f t="shared" si="9"/>
        <v>184.72698048404405</v>
      </c>
      <c r="T43" s="19">
        <f>IF(F43=1,가정!$C$16,가정!$C$40)</f>
        <v>29800</v>
      </c>
      <c r="U43" s="20">
        <f t="shared" si="10"/>
        <v>550.4864018424513</v>
      </c>
      <c r="V43" s="20">
        <f>U43/(1-가정!$C$41)*가정!$C$42</f>
        <v>579.45937036047508</v>
      </c>
      <c r="W43" s="19">
        <f>가정!$C$33+N43+K43</f>
        <v>774.79880123122416</v>
      </c>
      <c r="X43" s="19">
        <f t="shared" si="15"/>
        <v>984.79880123122416</v>
      </c>
      <c r="Y43" s="19">
        <f t="shared" si="11"/>
        <v>1759.5976024624483</v>
      </c>
      <c r="Z43" s="20">
        <f t="shared" si="12"/>
        <v>170.09850873300556</v>
      </c>
    </row>
    <row r="44" spans="1:26" x14ac:dyDescent="0.3">
      <c r="A44" s="16">
        <v>41</v>
      </c>
      <c r="B44" s="16">
        <v>2030</v>
      </c>
      <c r="C44" s="16">
        <v>5</v>
      </c>
      <c r="D44" s="17">
        <f>가정!$E$6*MIN(1,MAX(0,(A44-가정!$C$28+1)/가정!$C$30))</f>
        <v>0.75</v>
      </c>
      <c r="E44" s="17">
        <f>IF(가정!$E$7&lt;30000,1,0)*MIN(1,MAX(0,(A44-가정!$C$29+1)/가정!$C$30))</f>
        <v>0.72916666666666663</v>
      </c>
      <c r="F44" s="16">
        <f>IF(가정!$E$7&lt;30000,1,0)*IF(A44&gt;=가정!$C$29,1,0)</f>
        <v>1</v>
      </c>
      <c r="G44" s="17">
        <f>가정!$E$8*MIN(1,MAX(0,(A44-가정!$C$31+1)/가정!$C$32))</f>
        <v>0</v>
      </c>
      <c r="H44" s="18">
        <f>가정!$C$37+D44*가정!$C$14+E44*가정!$C$18</f>
        <v>-2.0416666666666669E-3</v>
      </c>
      <c r="I44" s="17">
        <f t="shared" si="13"/>
        <v>17.278233080946645</v>
      </c>
      <c r="J44" s="17">
        <f>I44*(1+G44*가정!$C$19)</f>
        <v>17.278233080946645</v>
      </c>
      <c r="K44" s="17">
        <f>I44*가정!$C$36*(1+G44*가정!$C$19*가정!$C$24)</f>
        <v>8.6391165404733226</v>
      </c>
      <c r="L44" s="18">
        <f>가정!$C$38+D44*가정!$C$12+E44*가정!$C$17</f>
        <v>0.13983333333333334</v>
      </c>
      <c r="M44" s="18">
        <f>가정!$C$38+가정!$C$23*(L44-가정!$C$38)</f>
        <v>0.13983333333333334</v>
      </c>
      <c r="N44" s="19">
        <f t="shared" si="14"/>
        <v>368.79880123122416</v>
      </c>
      <c r="O44" s="20">
        <f>K44+가정!$C$33*M44+N44*L44</f>
        <v>116.98181557930617</v>
      </c>
      <c r="P44" s="21">
        <f>가정!$C$39*(1+D44*가정!$C$13)</f>
        <v>1.4823499999999998</v>
      </c>
      <c r="Q44" s="21">
        <f>1+F44*가정!$C$15</f>
        <v>1.0860000000000001</v>
      </c>
      <c r="R44" s="21">
        <f t="shared" si="8"/>
        <v>1.6098321</v>
      </c>
      <c r="S44" s="20">
        <f t="shared" si="9"/>
        <v>188.32108183584717</v>
      </c>
      <c r="T44" s="19">
        <f>IF(F44=1,가정!$C$16,가정!$C$40)</f>
        <v>29800</v>
      </c>
      <c r="U44" s="20">
        <f t="shared" si="10"/>
        <v>561.19682387082457</v>
      </c>
      <c r="V44" s="20">
        <f>U44/(1-가정!$C$41)*가정!$C$42</f>
        <v>590.73349881139427</v>
      </c>
      <c r="W44" s="19">
        <f>가정!$C$33+N44+K44</f>
        <v>783.43791777169747</v>
      </c>
      <c r="X44" s="19">
        <f t="shared" si="15"/>
        <v>993.43791777169747</v>
      </c>
      <c r="Y44" s="19">
        <f t="shared" si="11"/>
        <v>1776.8758355433949</v>
      </c>
      <c r="Z44" s="20">
        <f t="shared" si="12"/>
        <v>173.4079943239845</v>
      </c>
    </row>
    <row r="45" spans="1:26" x14ac:dyDescent="0.3">
      <c r="A45" s="16">
        <v>42</v>
      </c>
      <c r="B45" s="16">
        <v>2030</v>
      </c>
      <c r="C45" s="16">
        <v>6</v>
      </c>
      <c r="D45" s="17">
        <f>가정!$E$6*MIN(1,MAX(0,(A45-가정!$C$28+1)/가정!$C$30))</f>
        <v>0.77083333333333337</v>
      </c>
      <c r="E45" s="17">
        <f>IF(가정!$E$7&lt;30000,1,0)*MIN(1,MAX(0,(A45-가정!$C$29+1)/가정!$C$30))</f>
        <v>0.75</v>
      </c>
      <c r="F45" s="16">
        <f>IF(가정!$E$7&lt;30000,1,0)*IF(A45&gt;=가정!$C$29,1,0)</f>
        <v>1</v>
      </c>
      <c r="G45" s="17">
        <f>가정!$E$8*MIN(1,MAX(0,(A45-가정!$C$31+1)/가정!$C$32))</f>
        <v>0</v>
      </c>
      <c r="H45" s="18">
        <f>가정!$C$37+D45*가정!$C$14+E45*가정!$C$18</f>
        <v>-1.9583333333333332E-3</v>
      </c>
      <c r="I45" s="17">
        <f t="shared" si="13"/>
        <v>17.244396541163127</v>
      </c>
      <c r="J45" s="17">
        <f>I45*(1+G45*가정!$C$19)</f>
        <v>17.244396541163127</v>
      </c>
      <c r="K45" s="17">
        <f>I45*가정!$C$36*(1+G45*가정!$C$19*가정!$C$24)</f>
        <v>8.6221982705815634</v>
      </c>
      <c r="L45" s="18">
        <f>가정!$C$38+D45*가정!$C$12+E45*가정!$C$17</f>
        <v>0.14064583333333336</v>
      </c>
      <c r="M45" s="18">
        <f>가정!$C$38+가정!$C$23*(L45-가정!$C$38)</f>
        <v>0.14064583333333336</v>
      </c>
      <c r="N45" s="19">
        <f t="shared" si="14"/>
        <v>377.43791777169747</v>
      </c>
      <c r="O45" s="20">
        <f>K45+가정!$C$33*M45+N45*L45</f>
        <v>118.80947708051345</v>
      </c>
      <c r="P45" s="21">
        <f>가정!$C$39*(1+D45*가정!$C$13)</f>
        <v>1.4877208333333334</v>
      </c>
      <c r="Q45" s="21">
        <f>1+F45*가정!$C$15</f>
        <v>1.0860000000000001</v>
      </c>
      <c r="R45" s="21">
        <f t="shared" si="8"/>
        <v>1.6156648250000001</v>
      </c>
      <c r="S45" s="20">
        <f t="shared" si="9"/>
        <v>191.95629299562927</v>
      </c>
      <c r="T45" s="19">
        <f>IF(F45=1,가정!$C$16,가정!$C$40)</f>
        <v>29800</v>
      </c>
      <c r="U45" s="20">
        <f t="shared" si="10"/>
        <v>572.02975312697527</v>
      </c>
      <c r="V45" s="20">
        <f>U45/(1-가정!$C$41)*가정!$C$42</f>
        <v>602.13658223892139</v>
      </c>
      <c r="W45" s="19">
        <f>가정!$C$33+N45+K45</f>
        <v>792.06011604227899</v>
      </c>
      <c r="X45" s="19">
        <f t="shared" si="15"/>
        <v>1002.0601160422791</v>
      </c>
      <c r="Y45" s="19">
        <f t="shared" si="11"/>
        <v>1794.1202320845582</v>
      </c>
      <c r="Z45" s="20">
        <f t="shared" si="12"/>
        <v>176.75533425011903</v>
      </c>
    </row>
    <row r="46" spans="1:26" x14ac:dyDescent="0.3">
      <c r="A46" s="16">
        <v>43</v>
      </c>
      <c r="B46" s="16">
        <v>2030</v>
      </c>
      <c r="C46" s="16">
        <v>7</v>
      </c>
      <c r="D46" s="17">
        <f>가정!$E$6*MIN(1,MAX(0,(A46-가정!$C$28+1)/가정!$C$30))</f>
        <v>0.79166666666666663</v>
      </c>
      <c r="E46" s="17">
        <f>IF(가정!$E$7&lt;30000,1,0)*MIN(1,MAX(0,(A46-가정!$C$29+1)/가정!$C$30))</f>
        <v>0.77083333333333337</v>
      </c>
      <c r="F46" s="16">
        <f>IF(가정!$E$7&lt;30000,1,0)*IF(A46&gt;=가정!$C$29,1,0)</f>
        <v>1</v>
      </c>
      <c r="G46" s="17">
        <f>가정!$E$8*MIN(1,MAX(0,(A46-가정!$C$31+1)/가정!$C$32))</f>
        <v>0</v>
      </c>
      <c r="H46" s="18">
        <f>가정!$C$37+D46*가정!$C$14+E46*가정!$C$18</f>
        <v>-1.8749999999999999E-3</v>
      </c>
      <c r="I46" s="17">
        <f t="shared" si="13"/>
        <v>17.212063297648445</v>
      </c>
      <c r="J46" s="17">
        <f>I46*(1+G46*가정!$C$19)</f>
        <v>17.212063297648445</v>
      </c>
      <c r="K46" s="17">
        <f>I46*가정!$C$36*(1+G46*가정!$C$19*가정!$C$24)</f>
        <v>8.6060316488242226</v>
      </c>
      <c r="L46" s="18">
        <f>가정!$C$38+D46*가정!$C$12+E46*가정!$C$17</f>
        <v>0.14145833333333332</v>
      </c>
      <c r="M46" s="18">
        <f>가정!$C$38+가정!$C$23*(L46-가정!$C$38)</f>
        <v>0.14145833333333332</v>
      </c>
      <c r="N46" s="19">
        <f t="shared" si="14"/>
        <v>386.06011604227905</v>
      </c>
      <c r="O46" s="20">
        <f>K46+가정!$C$33*M46+N46*L46</f>
        <v>120.6495355639716</v>
      </c>
      <c r="P46" s="21">
        <f>가정!$C$39*(1+D46*가정!$C$13)</f>
        <v>1.4930916666666665</v>
      </c>
      <c r="Q46" s="21">
        <f>1+F46*가정!$C$15</f>
        <v>1.0860000000000001</v>
      </c>
      <c r="R46" s="21">
        <f t="shared" si="8"/>
        <v>1.62149755</v>
      </c>
      <c r="S46" s="20">
        <f t="shared" si="9"/>
        <v>195.6329263256178</v>
      </c>
      <c r="T46" s="19">
        <f>IF(F46=1,가정!$C$16,가정!$C$40)</f>
        <v>29800</v>
      </c>
      <c r="U46" s="20">
        <f t="shared" si="10"/>
        <v>582.9861204503411</v>
      </c>
      <c r="V46" s="20">
        <f>U46/(1-가정!$C$41)*가정!$C$42</f>
        <v>613.66960047404325</v>
      </c>
      <c r="W46" s="19">
        <f>가정!$C$33+N46+K46</f>
        <v>800.66614769110333</v>
      </c>
      <c r="X46" s="19">
        <f t="shared" si="15"/>
        <v>1010.6661476911033</v>
      </c>
      <c r="Y46" s="19">
        <f t="shared" si="11"/>
        <v>1811.3322953822067</v>
      </c>
      <c r="Z46" s="20">
        <f t="shared" si="12"/>
        <v>180.1408161377696</v>
      </c>
    </row>
    <row r="47" spans="1:26" x14ac:dyDescent="0.3">
      <c r="A47" s="16">
        <v>44</v>
      </c>
      <c r="B47" s="16">
        <v>2030</v>
      </c>
      <c r="C47" s="16">
        <v>8</v>
      </c>
      <c r="D47" s="17">
        <f>가정!$E$6*MIN(1,MAX(0,(A47-가정!$C$28+1)/가정!$C$30))</f>
        <v>0.8125</v>
      </c>
      <c r="E47" s="17">
        <f>IF(가정!$E$7&lt;30000,1,0)*MIN(1,MAX(0,(A47-가정!$C$29+1)/가정!$C$30))</f>
        <v>0.79166666666666663</v>
      </c>
      <c r="F47" s="16">
        <f>IF(가정!$E$7&lt;30000,1,0)*IF(A47&gt;=가정!$C$29,1,0)</f>
        <v>1</v>
      </c>
      <c r="G47" s="17">
        <f>가정!$E$8*MIN(1,MAX(0,(A47-가정!$C$31+1)/가정!$C$32))</f>
        <v>0</v>
      </c>
      <c r="H47" s="18">
        <f>가정!$C$37+D47*가정!$C$14+E47*가정!$C$18</f>
        <v>-1.7916666666666667E-3</v>
      </c>
      <c r="I47" s="17">
        <f t="shared" si="13"/>
        <v>17.181225017573492</v>
      </c>
      <c r="J47" s="17">
        <f>I47*(1+G47*가정!$C$19)</f>
        <v>17.181225017573492</v>
      </c>
      <c r="K47" s="17">
        <f>I47*가정!$C$36*(1+G47*가정!$C$19*가정!$C$24)</f>
        <v>8.5906125087867462</v>
      </c>
      <c r="L47" s="18">
        <f>가정!$C$38+D47*가정!$C$12+E47*가정!$C$17</f>
        <v>0.14227083333333335</v>
      </c>
      <c r="M47" s="18">
        <f>가정!$C$38+가정!$C$23*(L47-가정!$C$38)</f>
        <v>0.14227083333333335</v>
      </c>
      <c r="N47" s="19">
        <f t="shared" si="14"/>
        <v>394.66614769110328</v>
      </c>
      <c r="O47" s="20">
        <f>K47+가정!$C$33*M47+N47*L47</f>
        <v>122.50205256258977</v>
      </c>
      <c r="P47" s="21">
        <f>가정!$C$39*(1+D47*가정!$C$13)</f>
        <v>1.4984625</v>
      </c>
      <c r="Q47" s="21">
        <f>1+F47*가정!$C$15</f>
        <v>1.0860000000000001</v>
      </c>
      <c r="R47" s="21">
        <f t="shared" si="8"/>
        <v>1.627330275</v>
      </c>
      <c r="S47" s="20">
        <f t="shared" si="9"/>
        <v>199.35129888474367</v>
      </c>
      <c r="T47" s="19">
        <f>IF(F47=1,가정!$C$16,가정!$C$40)</f>
        <v>29800</v>
      </c>
      <c r="U47" s="20">
        <f t="shared" si="10"/>
        <v>594.06687067653615</v>
      </c>
      <c r="V47" s="20">
        <f>U47/(1-가정!$C$41)*가정!$C$42</f>
        <v>625.33354808056436</v>
      </c>
      <c r="W47" s="19">
        <f>가정!$C$33+N47+K47</f>
        <v>809.2567601998901</v>
      </c>
      <c r="X47" s="19">
        <f t="shared" si="15"/>
        <v>1019.2567601998901</v>
      </c>
      <c r="Y47" s="19">
        <f t="shared" si="11"/>
        <v>1828.5135203997802</v>
      </c>
      <c r="Z47" s="20">
        <f t="shared" si="12"/>
        <v>183.56473193806968</v>
      </c>
    </row>
    <row r="48" spans="1:26" x14ac:dyDescent="0.3">
      <c r="A48" s="16">
        <v>45</v>
      </c>
      <c r="B48" s="16">
        <v>2030</v>
      </c>
      <c r="C48" s="16">
        <v>9</v>
      </c>
      <c r="D48" s="17">
        <f>가정!$E$6*MIN(1,MAX(0,(A48-가정!$C$28+1)/가정!$C$30))</f>
        <v>0.83333333333333337</v>
      </c>
      <c r="E48" s="17">
        <f>IF(가정!$E$7&lt;30000,1,0)*MIN(1,MAX(0,(A48-가정!$C$29+1)/가정!$C$30))</f>
        <v>0.8125</v>
      </c>
      <c r="F48" s="16">
        <f>IF(가정!$E$7&lt;30000,1,0)*IF(A48&gt;=가정!$C$29,1,0)</f>
        <v>1</v>
      </c>
      <c r="G48" s="17">
        <f>가정!$E$8*MIN(1,MAX(0,(A48-가정!$C$31+1)/가정!$C$32))</f>
        <v>0</v>
      </c>
      <c r="H48" s="18">
        <f>가정!$C$37+D48*가정!$C$14+E48*가정!$C$18</f>
        <v>-1.708333333333333E-3</v>
      </c>
      <c r="I48" s="17">
        <f t="shared" si="13"/>
        <v>17.15187375816847</v>
      </c>
      <c r="J48" s="17">
        <f>I48*(1+G48*가정!$C$19)</f>
        <v>17.15187375816847</v>
      </c>
      <c r="K48" s="17">
        <f>I48*가정!$C$36*(1+G48*가정!$C$19*가정!$C$24)</f>
        <v>8.5759368790842352</v>
      </c>
      <c r="L48" s="18">
        <f>가정!$C$38+D48*가정!$C$12+E48*가정!$C$17</f>
        <v>0.14308333333333334</v>
      </c>
      <c r="M48" s="18">
        <f>가정!$C$38+가정!$C$23*(L48-가정!$C$38)</f>
        <v>0.14308333333333334</v>
      </c>
      <c r="N48" s="19">
        <f t="shared" si="14"/>
        <v>403.25676019989004</v>
      </c>
      <c r="O48" s="20">
        <f>K48+가정!$C$33*M48+N48*L48</f>
        <v>124.3670916510185</v>
      </c>
      <c r="P48" s="21">
        <f>가정!$C$39*(1+D48*가정!$C$13)</f>
        <v>1.5038333333333334</v>
      </c>
      <c r="Q48" s="21">
        <f>1+F48*가정!$C$15</f>
        <v>1.0860000000000001</v>
      </c>
      <c r="R48" s="21">
        <f t="shared" si="8"/>
        <v>1.6331630000000001</v>
      </c>
      <c r="S48" s="20">
        <f t="shared" si="9"/>
        <v>203.11173250205235</v>
      </c>
      <c r="T48" s="19">
        <f>IF(F48=1,가정!$C$16,가정!$C$40)</f>
        <v>29800</v>
      </c>
      <c r="U48" s="20">
        <f t="shared" si="10"/>
        <v>605.27296285611601</v>
      </c>
      <c r="V48" s="20">
        <f>U48/(1-가정!$C$41)*가정!$C$42</f>
        <v>637.1294345853853</v>
      </c>
      <c r="W48" s="19">
        <f>가정!$C$33+N48+K48</f>
        <v>817.83269707897432</v>
      </c>
      <c r="X48" s="19">
        <f t="shared" si="15"/>
        <v>1027.8326970789742</v>
      </c>
      <c r="Y48" s="19">
        <f t="shared" si="11"/>
        <v>1845.6653941579484</v>
      </c>
      <c r="Z48" s="20">
        <f t="shared" si="12"/>
        <v>187.02737799452333</v>
      </c>
    </row>
    <row r="49" spans="1:26" x14ac:dyDescent="0.3">
      <c r="A49" s="16">
        <v>46</v>
      </c>
      <c r="B49" s="16">
        <v>2030</v>
      </c>
      <c r="C49" s="16">
        <v>10</v>
      </c>
      <c r="D49" s="17">
        <f>가정!$E$6*MIN(1,MAX(0,(A49-가정!$C$28+1)/가정!$C$30))</f>
        <v>0.85416666666666663</v>
      </c>
      <c r="E49" s="17">
        <f>IF(가정!$E$7&lt;30000,1,0)*MIN(1,MAX(0,(A49-가정!$C$29+1)/가정!$C$30))</f>
        <v>0.83333333333333337</v>
      </c>
      <c r="F49" s="16">
        <f>IF(가정!$E$7&lt;30000,1,0)*IF(A49&gt;=가정!$C$29,1,0)</f>
        <v>1</v>
      </c>
      <c r="G49" s="17">
        <f>가정!$E$8*MIN(1,MAX(0,(A49-가정!$C$31+1)/가정!$C$32))</f>
        <v>0</v>
      </c>
      <c r="H49" s="18">
        <f>가정!$C$37+D49*가정!$C$14+E49*가정!$C$18</f>
        <v>-1.6249999999999999E-3</v>
      </c>
      <c r="I49" s="17">
        <f t="shared" si="13"/>
        <v>17.124001963311446</v>
      </c>
      <c r="J49" s="17">
        <f>I49*(1+G49*가정!$C$19)</f>
        <v>17.124001963311446</v>
      </c>
      <c r="K49" s="17">
        <f>I49*가정!$C$36*(1+G49*가정!$C$19*가정!$C$24)</f>
        <v>8.5620009816557232</v>
      </c>
      <c r="L49" s="18">
        <f>가정!$C$38+D49*가정!$C$12+E49*가정!$C$17</f>
        <v>0.14389583333333333</v>
      </c>
      <c r="M49" s="18">
        <f>가정!$C$38+가정!$C$23*(L49-가정!$C$38)</f>
        <v>0.14389583333333333</v>
      </c>
      <c r="N49" s="19">
        <f t="shared" si="14"/>
        <v>411.83269707897426</v>
      </c>
      <c r="O49" s="20">
        <f>K49+가정!$C$33*M49+N49*L49</f>
        <v>126.24471845508229</v>
      </c>
      <c r="P49" s="21">
        <f>가정!$C$39*(1+D49*가정!$C$13)</f>
        <v>1.5092041666666667</v>
      </c>
      <c r="Q49" s="21">
        <f>1+F49*가정!$C$15</f>
        <v>1.0860000000000001</v>
      </c>
      <c r="R49" s="21">
        <f t="shared" si="8"/>
        <v>1.6389957250000002</v>
      </c>
      <c r="S49" s="20">
        <f t="shared" si="9"/>
        <v>206.91455385170852</v>
      </c>
      <c r="T49" s="19">
        <f>IF(F49=1,가정!$C$16,가정!$C$40)</f>
        <v>29800</v>
      </c>
      <c r="U49" s="20">
        <f t="shared" si="10"/>
        <v>616.60537047809134</v>
      </c>
      <c r="V49" s="20">
        <f>U49/(1-가정!$C$41)*가정!$C$42</f>
        <v>649.05828471378038</v>
      </c>
      <c r="W49" s="19">
        <f>가정!$C$33+N49+K49</f>
        <v>826.39469806062993</v>
      </c>
      <c r="X49" s="19">
        <f t="shared" si="15"/>
        <v>1036.3946980606299</v>
      </c>
      <c r="Y49" s="19">
        <f t="shared" si="11"/>
        <v>1862.7893961212599</v>
      </c>
      <c r="Z49" s="20">
        <f t="shared" si="12"/>
        <v>190.52905511207044</v>
      </c>
    </row>
    <row r="50" spans="1:26" x14ac:dyDescent="0.3">
      <c r="A50" s="16">
        <v>47</v>
      </c>
      <c r="B50" s="16">
        <v>2030</v>
      </c>
      <c r="C50" s="16">
        <v>11</v>
      </c>
      <c r="D50" s="17">
        <f>가정!$E$6*MIN(1,MAX(0,(A50-가정!$C$28+1)/가정!$C$30))</f>
        <v>0.875</v>
      </c>
      <c r="E50" s="17">
        <f>IF(가정!$E$7&lt;30000,1,0)*MIN(1,MAX(0,(A50-가정!$C$29+1)/가정!$C$30))</f>
        <v>0.85416666666666663</v>
      </c>
      <c r="F50" s="16">
        <f>IF(가정!$E$7&lt;30000,1,0)*IF(A50&gt;=가정!$C$29,1,0)</f>
        <v>1</v>
      </c>
      <c r="G50" s="17">
        <f>가정!$E$8*MIN(1,MAX(0,(A50-가정!$C$31+1)/가정!$C$32))</f>
        <v>0</v>
      </c>
      <c r="H50" s="18">
        <f>가정!$C$37+D50*가정!$C$14+E50*가정!$C$18</f>
        <v>-1.5416666666666671E-3</v>
      </c>
      <c r="I50" s="17">
        <f t="shared" si="13"/>
        <v>17.097602460284676</v>
      </c>
      <c r="J50" s="17">
        <f>I50*(1+G50*가정!$C$19)</f>
        <v>17.097602460284676</v>
      </c>
      <c r="K50" s="17">
        <f>I50*가정!$C$36*(1+G50*가정!$C$19*가정!$C$24)</f>
        <v>8.5488012301423382</v>
      </c>
      <c r="L50" s="18">
        <f>가정!$C$38+D50*가정!$C$12+E50*가정!$C$17</f>
        <v>0.14470833333333333</v>
      </c>
      <c r="M50" s="18">
        <f>가정!$C$38+가정!$C$23*(L50-가정!$C$38)</f>
        <v>0.14470833333333333</v>
      </c>
      <c r="N50" s="19">
        <f t="shared" si="14"/>
        <v>420.39469806062999</v>
      </c>
      <c r="O50" s="20">
        <f>K50+가정!$C$33*M50+N50*L50</f>
        <v>128.13500066199933</v>
      </c>
      <c r="P50" s="21">
        <f>가정!$C$39*(1+D50*가정!$C$13)</f>
        <v>1.514575</v>
      </c>
      <c r="Q50" s="21">
        <f>1+F50*가정!$C$15</f>
        <v>1.0860000000000001</v>
      </c>
      <c r="R50" s="21">
        <f t="shared" si="8"/>
        <v>1.6448284500000001</v>
      </c>
      <c r="S50" s="20">
        <f t="shared" si="9"/>
        <v>210.76009452962535</v>
      </c>
      <c r="T50" s="19">
        <f>IF(F50=1,가정!$C$16,가정!$C$40)</f>
        <v>29800</v>
      </c>
      <c r="U50" s="20">
        <f t="shared" si="10"/>
        <v>628.06508169828351</v>
      </c>
      <c r="V50" s="20">
        <f>U50/(1-가정!$C$41)*가정!$C$42</f>
        <v>661.12113862977219</v>
      </c>
      <c r="W50" s="19">
        <f>가정!$C$33+N50+K50</f>
        <v>834.94349929077225</v>
      </c>
      <c r="X50" s="19">
        <f t="shared" si="15"/>
        <v>1044.9434992907723</v>
      </c>
      <c r="Y50" s="19">
        <f t="shared" si="11"/>
        <v>1879.8869985815445</v>
      </c>
      <c r="Z50" s="20">
        <f t="shared" si="12"/>
        <v>194.07006862764763</v>
      </c>
    </row>
    <row r="51" spans="1:26" x14ac:dyDescent="0.3">
      <c r="A51" s="22">
        <v>48</v>
      </c>
      <c r="B51" s="22">
        <v>2030</v>
      </c>
      <c r="C51" s="22">
        <v>12</v>
      </c>
      <c r="D51" s="23">
        <f>가정!$E$6*MIN(1,MAX(0,(A51-가정!$C$28+1)/가정!$C$30))</f>
        <v>0.89583333333333337</v>
      </c>
      <c r="E51" s="23">
        <f>IF(가정!$E$7&lt;30000,1,0)*MIN(1,MAX(0,(A51-가정!$C$29+1)/가정!$C$30))</f>
        <v>0.875</v>
      </c>
      <c r="F51" s="22">
        <f>IF(가정!$E$7&lt;30000,1,0)*IF(A51&gt;=가정!$C$29,1,0)</f>
        <v>1</v>
      </c>
      <c r="G51" s="23">
        <f>가정!$E$8*MIN(1,MAX(0,(A51-가정!$C$31+1)/가정!$C$32))</f>
        <v>0</v>
      </c>
      <c r="H51" s="24">
        <f>가정!$C$37+D51*가정!$C$14+E51*가정!$C$18</f>
        <v>-1.458333333333333E-3</v>
      </c>
      <c r="I51" s="23">
        <f t="shared" si="13"/>
        <v>17.072668456696761</v>
      </c>
      <c r="J51" s="23">
        <f>I51*(1+G51*가정!$C$19)</f>
        <v>17.072668456696761</v>
      </c>
      <c r="K51" s="23">
        <f>I51*가정!$C$36*(1+G51*가정!$C$19*가정!$C$24)</f>
        <v>8.5363342283483803</v>
      </c>
      <c r="L51" s="24">
        <f>가정!$C$38+D51*가정!$C$12+E51*가정!$C$17</f>
        <v>0.14552083333333332</v>
      </c>
      <c r="M51" s="24">
        <f>가정!$C$38+가정!$C$23*(L51-가정!$C$38)</f>
        <v>0.14552083333333332</v>
      </c>
      <c r="N51" s="25">
        <f t="shared" si="14"/>
        <v>428.94349929077231</v>
      </c>
      <c r="O51" s="26">
        <f>K51+가정!$C$33*M51+N51*L51</f>
        <v>130.03800803139097</v>
      </c>
      <c r="P51" s="27">
        <f>가정!$C$39*(1+D51*가정!$C$13)</f>
        <v>1.5199458333333333</v>
      </c>
      <c r="Q51" s="27">
        <f>1+F51*가정!$C$15</f>
        <v>1.0860000000000001</v>
      </c>
      <c r="R51" s="27">
        <f t="shared" si="8"/>
        <v>1.6506611750000002</v>
      </c>
      <c r="S51" s="26">
        <f t="shared" si="9"/>
        <v>214.6486911317553</v>
      </c>
      <c r="T51" s="25">
        <f>IF(F51=1,가정!$C$16,가정!$C$40)</f>
        <v>29800</v>
      </c>
      <c r="U51" s="26">
        <f t="shared" si="10"/>
        <v>639.65309957263082</v>
      </c>
      <c r="V51" s="26">
        <f>U51/(1-가정!$C$41)*가정!$C$42</f>
        <v>673.31905218171664</v>
      </c>
      <c r="W51" s="25">
        <f>가정!$C$33+N51+K51</f>
        <v>843.47983351912058</v>
      </c>
      <c r="X51" s="25">
        <f t="shared" si="15"/>
        <v>1053.4798335191206</v>
      </c>
      <c r="Y51" s="25">
        <f t="shared" si="11"/>
        <v>1896.9596670382412</v>
      </c>
      <c r="Z51" s="26">
        <f t="shared" si="12"/>
        <v>197.65072848227925</v>
      </c>
    </row>
    <row r="52" spans="1:26" x14ac:dyDescent="0.3">
      <c r="A52" s="16">
        <v>49</v>
      </c>
      <c r="B52" s="16">
        <v>2031</v>
      </c>
      <c r="C52" s="16">
        <v>1</v>
      </c>
      <c r="D52" s="17">
        <f>가정!$E$6*MIN(1,MAX(0,(A52-가정!$C$28+1)/가정!$C$30))</f>
        <v>0.91666666666666663</v>
      </c>
      <c r="E52" s="17">
        <f>IF(가정!$E$7&lt;30000,1,0)*MIN(1,MAX(0,(A52-가정!$C$29+1)/가정!$C$30))</f>
        <v>0.89583333333333337</v>
      </c>
      <c r="F52" s="16">
        <f>IF(가정!$E$7&lt;30000,1,0)*IF(A52&gt;=가정!$C$29,1,0)</f>
        <v>1</v>
      </c>
      <c r="G52" s="17">
        <f>가정!$E$8*MIN(1,MAX(0,(A52-가정!$C$31+1)/가정!$C$32))</f>
        <v>0</v>
      </c>
      <c r="H52" s="18">
        <f>가정!$C$37+D52*가정!$C$14+E52*가정!$C$18</f>
        <v>-1.3749999999999997E-3</v>
      </c>
      <c r="I52" s="17">
        <f t="shared" si="13"/>
        <v>17.049193537568801</v>
      </c>
      <c r="J52" s="17">
        <f>I52*(1+G52*가정!$C$19)</f>
        <v>17.049193537568801</v>
      </c>
      <c r="K52" s="17">
        <f>I52*가정!$C$36*(1+G52*가정!$C$19*가정!$C$24)</f>
        <v>8.5245967687844004</v>
      </c>
      <c r="L52" s="18">
        <f>가정!$C$38+D52*가정!$C$12+E52*가정!$C$17</f>
        <v>0.14633333333333334</v>
      </c>
      <c r="M52" s="18">
        <f>가정!$C$38+가정!$C$23*(L52-가정!$C$38)</f>
        <v>0.14633333333333334</v>
      </c>
      <c r="N52" s="19">
        <f t="shared" si="14"/>
        <v>437.47983351912069</v>
      </c>
      <c r="O52" s="20">
        <f>K52+가정!$C$33*M52+N52*L52</f>
        <v>131.95381240708241</v>
      </c>
      <c r="P52" s="21">
        <f>가정!$C$39*(1+D52*가정!$C$13)</f>
        <v>1.5253166666666667</v>
      </c>
      <c r="Q52" s="21">
        <f>1+F52*가정!$C$15</f>
        <v>1.0860000000000001</v>
      </c>
      <c r="R52" s="21">
        <f t="shared" si="8"/>
        <v>1.6564939000000001</v>
      </c>
      <c r="S52" s="20">
        <f t="shared" si="9"/>
        <v>218.58068533407635</v>
      </c>
      <c r="T52" s="19">
        <f>IF(F52=1,가정!$C$16,가정!$C$40)</f>
        <v>29800</v>
      </c>
      <c r="U52" s="20">
        <f t="shared" si="10"/>
        <v>651.37044229554749</v>
      </c>
      <c r="V52" s="20">
        <f>U52/(1-가정!$C$41)*가정!$C$42</f>
        <v>685.65309715320791</v>
      </c>
      <c r="W52" s="19">
        <f>가정!$C$33+N52+K52</f>
        <v>852.00443028790505</v>
      </c>
      <c r="X52" s="19">
        <f t="shared" si="15"/>
        <v>1062.0044302879048</v>
      </c>
      <c r="Y52" s="19">
        <f t="shared" si="11"/>
        <v>1914.0088605758099</v>
      </c>
      <c r="Z52" s="20">
        <f t="shared" si="12"/>
        <v>201.27134929472959</v>
      </c>
    </row>
    <row r="53" spans="1:26" x14ac:dyDescent="0.3">
      <c r="A53" s="16">
        <v>50</v>
      </c>
      <c r="B53" s="16">
        <v>2031</v>
      </c>
      <c r="C53" s="16">
        <v>2</v>
      </c>
      <c r="D53" s="17">
        <f>가정!$E$6*MIN(1,MAX(0,(A53-가정!$C$28+1)/가정!$C$30))</f>
        <v>0.9375</v>
      </c>
      <c r="E53" s="17">
        <f>IF(가정!$E$7&lt;30000,1,0)*MIN(1,MAX(0,(A53-가정!$C$29+1)/가정!$C$30))</f>
        <v>0.91666666666666663</v>
      </c>
      <c r="F53" s="16">
        <f>IF(가정!$E$7&lt;30000,1,0)*IF(A53&gt;=가정!$C$29,1,0)</f>
        <v>1</v>
      </c>
      <c r="G53" s="17">
        <f>가정!$E$8*MIN(1,MAX(0,(A53-가정!$C$31+1)/가정!$C$32))</f>
        <v>0</v>
      </c>
      <c r="H53" s="18">
        <f>가정!$C$37+D53*가정!$C$14+E53*가정!$C$18</f>
        <v>-1.2916666666666669E-3</v>
      </c>
      <c r="I53" s="17">
        <f t="shared" si="13"/>
        <v>17.027171662582774</v>
      </c>
      <c r="J53" s="17">
        <f>I53*(1+G53*가정!$C$19)</f>
        <v>17.027171662582774</v>
      </c>
      <c r="K53" s="17">
        <f>I53*가정!$C$36*(1+G53*가정!$C$19*가정!$C$24)</f>
        <v>8.5135858312913868</v>
      </c>
      <c r="L53" s="18">
        <f>가정!$C$38+D53*가정!$C$12+E53*가정!$C$17</f>
        <v>0.14714583333333334</v>
      </c>
      <c r="M53" s="18">
        <f>가정!$C$38+가정!$C$23*(L53-가정!$C$38)</f>
        <v>0.14714583333333334</v>
      </c>
      <c r="N53" s="19">
        <f t="shared" si="14"/>
        <v>446.00443028790511</v>
      </c>
      <c r="O53" s="20">
        <f>K53+가정!$C$33*M53+N53*L53</f>
        <v>133.88248772969709</v>
      </c>
      <c r="P53" s="21">
        <f>가정!$C$39*(1+D53*가정!$C$13)</f>
        <v>1.5306875</v>
      </c>
      <c r="Q53" s="21">
        <f>1+F53*가정!$C$15</f>
        <v>1.0860000000000001</v>
      </c>
      <c r="R53" s="21">
        <f t="shared" si="8"/>
        <v>1.6623266250000002</v>
      </c>
      <c r="S53" s="20">
        <f t="shared" si="9"/>
        <v>222.55642397431129</v>
      </c>
      <c r="T53" s="19">
        <f>IF(F53=1,가정!$C$16,가정!$C$40)</f>
        <v>29800</v>
      </c>
      <c r="U53" s="20">
        <f t="shared" si="10"/>
        <v>663.21814344344762</v>
      </c>
      <c r="V53" s="20">
        <f>U53/(1-가정!$C$41)*가정!$C$42</f>
        <v>698.12436151941858</v>
      </c>
      <c r="W53" s="19">
        <f>가정!$C$33+N53+K53</f>
        <v>860.51801611919643</v>
      </c>
      <c r="X53" s="19">
        <f t="shared" si="15"/>
        <v>1070.5180161191961</v>
      </c>
      <c r="Y53" s="19">
        <f t="shared" si="11"/>
        <v>1931.0360322383926</v>
      </c>
      <c r="Z53" s="20">
        <f t="shared" si="12"/>
        <v>204.93225043675071</v>
      </c>
    </row>
    <row r="54" spans="1:26" x14ac:dyDescent="0.3">
      <c r="A54" s="16">
        <v>51</v>
      </c>
      <c r="B54" s="16">
        <v>2031</v>
      </c>
      <c r="C54" s="16">
        <v>3</v>
      </c>
      <c r="D54" s="17">
        <f>가정!$E$6*MIN(1,MAX(0,(A54-가정!$C$28+1)/가정!$C$30))</f>
        <v>0.95833333333333337</v>
      </c>
      <c r="E54" s="17">
        <f>IF(가정!$E$7&lt;30000,1,0)*MIN(1,MAX(0,(A54-가정!$C$29+1)/가정!$C$30))</f>
        <v>0.9375</v>
      </c>
      <c r="F54" s="16">
        <f>IF(가정!$E$7&lt;30000,1,0)*IF(A54&gt;=가정!$C$29,1,0)</f>
        <v>1</v>
      </c>
      <c r="G54" s="17">
        <f>가정!$E$8*MIN(1,MAX(0,(A54-가정!$C$31+1)/가정!$C$32))</f>
        <v>0</v>
      </c>
      <c r="H54" s="18">
        <f>가정!$C$37+D54*가정!$C$14+E54*가정!$C$18</f>
        <v>-1.2083333333333334E-3</v>
      </c>
      <c r="I54" s="17">
        <f t="shared" si="13"/>
        <v>17.006597163490486</v>
      </c>
      <c r="J54" s="17">
        <f>I54*(1+G54*가정!$C$19)</f>
        <v>17.006597163490486</v>
      </c>
      <c r="K54" s="17">
        <f>I54*가정!$C$36*(1+G54*가정!$C$19*가정!$C$24)</f>
        <v>8.5032985817452431</v>
      </c>
      <c r="L54" s="18">
        <f>가정!$C$38+D54*가정!$C$12+E54*가정!$C$17</f>
        <v>0.14795833333333333</v>
      </c>
      <c r="M54" s="18">
        <f>가정!$C$38+가정!$C$23*(L54-가정!$C$38)</f>
        <v>0.14795833333333333</v>
      </c>
      <c r="N54" s="19">
        <f t="shared" si="14"/>
        <v>454.51801611919649</v>
      </c>
      <c r="O54" s="20">
        <f>K54+가정!$C$33*M54+N54*L54</f>
        <v>135.82411005004803</v>
      </c>
      <c r="P54" s="21">
        <f>가정!$C$39*(1+D54*가정!$C$13)</f>
        <v>1.5360583333333333</v>
      </c>
      <c r="Q54" s="21">
        <f>1+F54*가정!$C$15</f>
        <v>1.0860000000000001</v>
      </c>
      <c r="R54" s="21">
        <f t="shared" si="8"/>
        <v>1.66815935</v>
      </c>
      <c r="S54" s="20">
        <f t="shared" si="9"/>
        <v>226.57625913541659</v>
      </c>
      <c r="T54" s="19">
        <f>IF(F54=1,가정!$C$16,가정!$C$40)</f>
        <v>29800</v>
      </c>
      <c r="U54" s="20">
        <f t="shared" si="10"/>
        <v>675.19725222354145</v>
      </c>
      <c r="V54" s="20">
        <f>U54/(1-가정!$C$41)*가정!$C$42</f>
        <v>710.73394970899108</v>
      </c>
      <c r="W54" s="19">
        <f>가정!$C$33+N54+K54</f>
        <v>869.02131470094184</v>
      </c>
      <c r="X54" s="19">
        <f t="shared" si="15"/>
        <v>1079.0213147009415</v>
      </c>
      <c r="Y54" s="19">
        <f t="shared" si="11"/>
        <v>1948.0426294018835</v>
      </c>
      <c r="Z54" s="20">
        <f t="shared" si="12"/>
        <v>208.63375610996002</v>
      </c>
    </row>
    <row r="55" spans="1:26" x14ac:dyDescent="0.3">
      <c r="A55" s="16">
        <v>52</v>
      </c>
      <c r="B55" s="16">
        <v>2031</v>
      </c>
      <c r="C55" s="16">
        <v>4</v>
      </c>
      <c r="D55" s="17">
        <f>가정!$E$6*MIN(1,MAX(0,(A55-가정!$C$28+1)/가정!$C$30))</f>
        <v>0.97916666666666663</v>
      </c>
      <c r="E55" s="17">
        <f>IF(가정!$E$7&lt;30000,1,0)*MIN(1,MAX(0,(A55-가정!$C$29+1)/가정!$C$30))</f>
        <v>0.95833333333333337</v>
      </c>
      <c r="F55" s="16">
        <f>IF(가정!$E$7&lt;30000,1,0)*IF(A55&gt;=가정!$C$29,1,0)</f>
        <v>1</v>
      </c>
      <c r="G55" s="17">
        <f>가정!$E$8*MIN(1,MAX(0,(A55-가정!$C$31+1)/가정!$C$32))</f>
        <v>0</v>
      </c>
      <c r="H55" s="18">
        <f>가정!$C$37+D55*가정!$C$14+E55*가정!$C$18</f>
        <v>-1.1250000000000001E-3</v>
      </c>
      <c r="I55" s="17">
        <f t="shared" si="13"/>
        <v>16.98746474168156</v>
      </c>
      <c r="J55" s="17">
        <f>I55*(1+G55*가정!$C$19)</f>
        <v>16.98746474168156</v>
      </c>
      <c r="K55" s="17">
        <f>I55*가정!$C$36*(1+G55*가정!$C$19*가정!$C$24)</f>
        <v>8.4937323708407799</v>
      </c>
      <c r="L55" s="18">
        <f>가정!$C$38+D55*가정!$C$12+E55*가정!$C$17</f>
        <v>0.14877083333333332</v>
      </c>
      <c r="M55" s="18">
        <f>가정!$C$38+가정!$C$23*(L55-가정!$C$38)</f>
        <v>0.14877083333333332</v>
      </c>
      <c r="N55" s="19">
        <f t="shared" si="14"/>
        <v>463.02131470094173</v>
      </c>
      <c r="O55" s="20">
        <f>K55+가정!$C$33*M55+N55*L55</f>
        <v>137.77875754332879</v>
      </c>
      <c r="P55" s="21">
        <f>가정!$C$39*(1+D55*가정!$C$13)</f>
        <v>1.5414291666666666</v>
      </c>
      <c r="Q55" s="21">
        <f>1+F55*가정!$C$15</f>
        <v>1.0860000000000001</v>
      </c>
      <c r="R55" s="21">
        <f t="shared" si="8"/>
        <v>1.6739920750000001</v>
      </c>
      <c r="S55" s="20">
        <f t="shared" si="9"/>
        <v>230.64054823087889</v>
      </c>
      <c r="T55" s="19">
        <f>IF(F55=1,가정!$C$16,가정!$C$40)</f>
        <v>29800</v>
      </c>
      <c r="U55" s="20">
        <f t="shared" si="10"/>
        <v>687.30883372801907</v>
      </c>
      <c r="V55" s="20">
        <f>U55/(1-가정!$C$41)*가정!$C$42</f>
        <v>723.48298287159901</v>
      </c>
      <c r="W55" s="19">
        <f>가정!$C$33+N55+K55</f>
        <v>877.51504707178253</v>
      </c>
      <c r="X55" s="19">
        <f t="shared" si="15"/>
        <v>1087.5150470717824</v>
      </c>
      <c r="Y55" s="19">
        <f t="shared" si="11"/>
        <v>1965.0300941435648</v>
      </c>
      <c r="Z55" s="20">
        <f t="shared" si="12"/>
        <v>212.37619542438202</v>
      </c>
    </row>
    <row r="56" spans="1:26" x14ac:dyDescent="0.3">
      <c r="A56" s="16">
        <v>53</v>
      </c>
      <c r="B56" s="16">
        <v>2031</v>
      </c>
      <c r="C56" s="16">
        <v>5</v>
      </c>
      <c r="D56" s="17">
        <f>가정!$E$6*MIN(1,MAX(0,(A56-가정!$C$28+1)/가정!$C$30))</f>
        <v>1</v>
      </c>
      <c r="E56" s="17">
        <f>IF(가정!$E$7&lt;30000,1,0)*MIN(1,MAX(0,(A56-가정!$C$29+1)/가정!$C$30))</f>
        <v>0.97916666666666663</v>
      </c>
      <c r="F56" s="16">
        <f>IF(가정!$E$7&lt;30000,1,0)*IF(A56&gt;=가정!$C$29,1,0)</f>
        <v>1</v>
      </c>
      <c r="G56" s="17">
        <f>가정!$E$8*MIN(1,MAX(0,(A56-가정!$C$31+1)/가정!$C$32))</f>
        <v>0</v>
      </c>
      <c r="H56" s="18">
        <f>가정!$C$37+D56*가정!$C$14+E56*가정!$C$18</f>
        <v>-1.0416666666666669E-3</v>
      </c>
      <c r="I56" s="17">
        <f t="shared" si="13"/>
        <v>16.969769465908975</v>
      </c>
      <c r="J56" s="17">
        <f>I56*(1+G56*가정!$C$19)</f>
        <v>16.969769465908975</v>
      </c>
      <c r="K56" s="17">
        <f>I56*가정!$C$36*(1+G56*가정!$C$19*가정!$C$24)</f>
        <v>8.4848847329544874</v>
      </c>
      <c r="L56" s="18">
        <f>가정!$C$38+D56*가정!$C$12+E56*가정!$C$17</f>
        <v>0.14958333333333335</v>
      </c>
      <c r="M56" s="18">
        <f>가정!$C$38+가정!$C$23*(L56-가정!$C$38)</f>
        <v>0.14958333333333335</v>
      </c>
      <c r="N56" s="19">
        <f t="shared" si="14"/>
        <v>471.51504707178253</v>
      </c>
      <c r="O56" s="20">
        <f>K56+가정!$C$33*M56+N56*L56</f>
        <v>139.74651052410863</v>
      </c>
      <c r="P56" s="21">
        <f>가정!$C$39*(1+D56*가정!$C$13)</f>
        <v>1.5468</v>
      </c>
      <c r="Q56" s="21">
        <f>1+F56*가정!$C$15</f>
        <v>1.0860000000000001</v>
      </c>
      <c r="R56" s="21">
        <f t="shared" si="8"/>
        <v>1.6798248</v>
      </c>
      <c r="S56" s="20">
        <f t="shared" si="9"/>
        <v>234.74965409185867</v>
      </c>
      <c r="T56" s="19">
        <f>IF(F56=1,가정!$C$16,가정!$C$40)</f>
        <v>29800</v>
      </c>
      <c r="U56" s="20">
        <f t="shared" si="10"/>
        <v>699.55396919373891</v>
      </c>
      <c r="V56" s="20">
        <f>U56/(1-가정!$C$41)*가정!$C$42</f>
        <v>736.37259915130414</v>
      </c>
      <c r="W56" s="19">
        <f>가정!$C$33+N56+K56</f>
        <v>885.999931804737</v>
      </c>
      <c r="X56" s="19">
        <f t="shared" si="15"/>
        <v>1095.9999318047369</v>
      </c>
      <c r="Y56" s="19">
        <f t="shared" si="11"/>
        <v>1981.9998636094738</v>
      </c>
      <c r="Z56" s="20">
        <f t="shared" si="12"/>
        <v>216.15990247869121</v>
      </c>
    </row>
    <row r="57" spans="1:26" x14ac:dyDescent="0.3">
      <c r="A57" s="16">
        <v>54</v>
      </c>
      <c r="B57" s="16">
        <v>2031</v>
      </c>
      <c r="C57" s="16">
        <v>6</v>
      </c>
      <c r="D57" s="17">
        <f>가정!$E$6*MIN(1,MAX(0,(A57-가정!$C$28+1)/가정!$C$30))</f>
        <v>1</v>
      </c>
      <c r="E57" s="17">
        <f>IF(가정!$E$7&lt;30000,1,0)*MIN(1,MAX(0,(A57-가정!$C$29+1)/가정!$C$30))</f>
        <v>1</v>
      </c>
      <c r="F57" s="16">
        <f>IF(가정!$E$7&lt;30000,1,0)*IF(A57&gt;=가정!$C$29,1,0)</f>
        <v>1</v>
      </c>
      <c r="G57" s="17">
        <f>가정!$E$8*MIN(1,MAX(0,(A57-가정!$C$31+1)/가정!$C$32))</f>
        <v>0</v>
      </c>
      <c r="H57" s="18">
        <f>가정!$C$37+D57*가정!$C$14+E57*가정!$C$18</f>
        <v>-1E-3</v>
      </c>
      <c r="I57" s="17">
        <f t="shared" si="13"/>
        <v>16.952799696443066</v>
      </c>
      <c r="J57" s="17">
        <f>I57*(1+G57*가정!$C$19)</f>
        <v>16.952799696443066</v>
      </c>
      <c r="K57" s="17">
        <f>I57*가정!$C$36*(1+G57*가정!$C$19*가정!$C$24)</f>
        <v>8.4763998482215328</v>
      </c>
      <c r="L57" s="18">
        <f>가정!$C$38+D57*가정!$C$12+E57*가정!$C$17</f>
        <v>0.15</v>
      </c>
      <c r="M57" s="18">
        <f>가정!$C$38+가정!$C$23*(L57-가정!$C$38)</f>
        <v>0.15</v>
      </c>
      <c r="N57" s="19">
        <f t="shared" si="14"/>
        <v>479.999931804737</v>
      </c>
      <c r="O57" s="20">
        <f>K57+가정!$C$33*M57+N57*L57</f>
        <v>141.37638961893208</v>
      </c>
      <c r="P57" s="21">
        <f>가정!$C$39*(1+D57*가정!$C$13)</f>
        <v>1.5468</v>
      </c>
      <c r="Q57" s="21">
        <f>1+F57*가정!$C$15</f>
        <v>1.0860000000000001</v>
      </c>
      <c r="R57" s="21">
        <f t="shared" si="8"/>
        <v>1.6798248</v>
      </c>
      <c r="S57" s="20">
        <f t="shared" si="9"/>
        <v>237.48756541634467</v>
      </c>
      <c r="T57" s="19">
        <f>IF(F57=1,가정!$C$16,가정!$C$40)</f>
        <v>29800</v>
      </c>
      <c r="U57" s="20">
        <f t="shared" si="10"/>
        <v>707.71294494070708</v>
      </c>
      <c r="V57" s="20">
        <f>U57/(1-가정!$C$41)*가정!$C$42</f>
        <v>744.96099467442855</v>
      </c>
      <c r="W57" s="19">
        <f>가정!$C$33+N57+K57</f>
        <v>894.47633165295849</v>
      </c>
      <c r="X57" s="19">
        <f t="shared" si="15"/>
        <v>1104.4763316529584</v>
      </c>
      <c r="Y57" s="19">
        <f t="shared" si="11"/>
        <v>1998.9526633059168</v>
      </c>
      <c r="Z57" s="20">
        <f t="shared" si="12"/>
        <v>218.68099946256413</v>
      </c>
    </row>
    <row r="58" spans="1:26" x14ac:dyDescent="0.3">
      <c r="A58" s="16">
        <v>55</v>
      </c>
      <c r="B58" s="16">
        <v>2031</v>
      </c>
      <c r="C58" s="16">
        <v>7</v>
      </c>
      <c r="D58" s="17">
        <f>가정!$E$6*MIN(1,MAX(0,(A58-가정!$C$28+1)/가정!$C$30))</f>
        <v>1</v>
      </c>
      <c r="E58" s="17">
        <f>IF(가정!$E$7&lt;30000,1,0)*MIN(1,MAX(0,(A58-가정!$C$29+1)/가정!$C$30))</f>
        <v>1</v>
      </c>
      <c r="F58" s="16">
        <f>IF(가정!$E$7&lt;30000,1,0)*IF(A58&gt;=가정!$C$29,1,0)</f>
        <v>1</v>
      </c>
      <c r="G58" s="17">
        <f>가정!$E$8*MIN(1,MAX(0,(A58-가정!$C$31+1)/가정!$C$32))</f>
        <v>0</v>
      </c>
      <c r="H58" s="18">
        <f>가정!$C$37+D58*가정!$C$14+E58*가정!$C$18</f>
        <v>-1E-3</v>
      </c>
      <c r="I58" s="17">
        <f t="shared" si="13"/>
        <v>16.935846896746622</v>
      </c>
      <c r="J58" s="17">
        <f>I58*(1+G58*가정!$C$19)</f>
        <v>16.935846896746622</v>
      </c>
      <c r="K58" s="17">
        <f>I58*가정!$C$36*(1+G58*가정!$C$19*가정!$C$24)</f>
        <v>8.4679234483733108</v>
      </c>
      <c r="L58" s="18">
        <f>가정!$C$38+D58*가정!$C$12+E58*가정!$C$17</f>
        <v>0.15</v>
      </c>
      <c r="M58" s="18">
        <f>가정!$C$38+가정!$C$23*(L58-가정!$C$38)</f>
        <v>0.15</v>
      </c>
      <c r="N58" s="19">
        <f t="shared" si="14"/>
        <v>488.47633165295855</v>
      </c>
      <c r="O58" s="20">
        <f>K58+가정!$C$33*M58+N58*L58</f>
        <v>142.63937319631708</v>
      </c>
      <c r="P58" s="21">
        <f>가정!$C$39*(1+D58*가정!$C$13)</f>
        <v>1.5468</v>
      </c>
      <c r="Q58" s="21">
        <f>1+F58*가정!$C$15</f>
        <v>1.0860000000000001</v>
      </c>
      <c r="R58" s="21">
        <f t="shared" si="8"/>
        <v>1.6798248</v>
      </c>
      <c r="S58" s="20">
        <f t="shared" si="9"/>
        <v>239.6091565516287</v>
      </c>
      <c r="T58" s="19">
        <f>IF(F58=1,가정!$C$16,가정!$C$40)</f>
        <v>29800</v>
      </c>
      <c r="U58" s="20">
        <f t="shared" si="10"/>
        <v>714.03528652385353</v>
      </c>
      <c r="V58" s="20">
        <f>U58/(1-가정!$C$41)*가정!$C$42</f>
        <v>751.61609107774063</v>
      </c>
      <c r="W58" s="19">
        <f>가정!$C$33+N58+K58</f>
        <v>902.94425510133192</v>
      </c>
      <c r="X58" s="19">
        <f t="shared" si="15"/>
        <v>1112.9442551013317</v>
      </c>
      <c r="Y58" s="19">
        <f t="shared" si="11"/>
        <v>2015.8885102026636</v>
      </c>
      <c r="Z58" s="20">
        <f t="shared" si="12"/>
        <v>220.63458246006326</v>
      </c>
    </row>
    <row r="59" spans="1:26" x14ac:dyDescent="0.3">
      <c r="A59" s="16">
        <v>56</v>
      </c>
      <c r="B59" s="16">
        <v>2031</v>
      </c>
      <c r="C59" s="16">
        <v>8</v>
      </c>
      <c r="D59" s="17">
        <f>가정!$E$6*MIN(1,MAX(0,(A59-가정!$C$28+1)/가정!$C$30))</f>
        <v>1</v>
      </c>
      <c r="E59" s="17">
        <f>IF(가정!$E$7&lt;30000,1,0)*MIN(1,MAX(0,(A59-가정!$C$29+1)/가정!$C$30))</f>
        <v>1</v>
      </c>
      <c r="F59" s="16">
        <f>IF(가정!$E$7&lt;30000,1,0)*IF(A59&gt;=가정!$C$29,1,0)</f>
        <v>1</v>
      </c>
      <c r="G59" s="17">
        <f>가정!$E$8*MIN(1,MAX(0,(A59-가정!$C$31+1)/가정!$C$32))</f>
        <v>0</v>
      </c>
      <c r="H59" s="18">
        <f>가정!$C$37+D59*가정!$C$14+E59*가정!$C$18</f>
        <v>-1E-3</v>
      </c>
      <c r="I59" s="17">
        <f t="shared" si="13"/>
        <v>16.918911049849875</v>
      </c>
      <c r="J59" s="17">
        <f>I59*(1+G59*가정!$C$19)</f>
        <v>16.918911049849875</v>
      </c>
      <c r="K59" s="17">
        <f>I59*가정!$C$36*(1+G59*가정!$C$19*가정!$C$24)</f>
        <v>8.4594555249249375</v>
      </c>
      <c r="L59" s="18">
        <f>가정!$C$38+D59*가정!$C$12+E59*가정!$C$17</f>
        <v>0.15</v>
      </c>
      <c r="M59" s="18">
        <f>가정!$C$38+가정!$C$23*(L59-가정!$C$38)</f>
        <v>0.15</v>
      </c>
      <c r="N59" s="19">
        <f t="shared" si="14"/>
        <v>496.94425510133186</v>
      </c>
      <c r="O59" s="20">
        <f>K59+가정!$C$33*M59+N59*L59</f>
        <v>143.90109379012472</v>
      </c>
      <c r="P59" s="21">
        <f>가정!$C$39*(1+D59*가정!$C$13)</f>
        <v>1.5468</v>
      </c>
      <c r="Q59" s="21">
        <f>1+F59*가정!$C$15</f>
        <v>1.0860000000000001</v>
      </c>
      <c r="R59" s="21">
        <f t="shared" si="8"/>
        <v>1.6798248</v>
      </c>
      <c r="S59" s="20">
        <f t="shared" si="9"/>
        <v>241.72862609577749</v>
      </c>
      <c r="T59" s="19">
        <f>IF(F59=1,가정!$C$16,가정!$C$40)</f>
        <v>29800</v>
      </c>
      <c r="U59" s="20">
        <f t="shared" si="10"/>
        <v>720.3513057654169</v>
      </c>
      <c r="V59" s="20">
        <f>U59/(1-가정!$C$41)*가정!$C$42</f>
        <v>758.26453238464944</v>
      </c>
      <c r="W59" s="19">
        <f>가정!$C$33+N59+K59</f>
        <v>911.40371062625684</v>
      </c>
      <c r="X59" s="19">
        <f t="shared" si="15"/>
        <v>1121.4037106262565</v>
      </c>
      <c r="Y59" s="19">
        <f t="shared" si="11"/>
        <v>2032.8074212525134</v>
      </c>
      <c r="Z59" s="20">
        <f t="shared" si="12"/>
        <v>222.5862118745649</v>
      </c>
    </row>
    <row r="60" spans="1:26" x14ac:dyDescent="0.3">
      <c r="A60" s="16">
        <v>57</v>
      </c>
      <c r="B60" s="16">
        <v>2031</v>
      </c>
      <c r="C60" s="16">
        <v>9</v>
      </c>
      <c r="D60" s="17">
        <f>가정!$E$6*MIN(1,MAX(0,(A60-가정!$C$28+1)/가정!$C$30))</f>
        <v>1</v>
      </c>
      <c r="E60" s="17">
        <f>IF(가정!$E$7&lt;30000,1,0)*MIN(1,MAX(0,(A60-가정!$C$29+1)/가정!$C$30))</f>
        <v>1</v>
      </c>
      <c r="F60" s="16">
        <f>IF(가정!$E$7&lt;30000,1,0)*IF(A60&gt;=가정!$C$29,1,0)</f>
        <v>1</v>
      </c>
      <c r="G60" s="17">
        <f>가정!$E$8*MIN(1,MAX(0,(A60-가정!$C$31+1)/가정!$C$32))</f>
        <v>0</v>
      </c>
      <c r="H60" s="18">
        <f>가정!$C$37+D60*가정!$C$14+E60*가정!$C$18</f>
        <v>-1E-3</v>
      </c>
      <c r="I60" s="17">
        <f t="shared" si="13"/>
        <v>16.901992138800026</v>
      </c>
      <c r="J60" s="17">
        <f>I60*(1+G60*가정!$C$19)</f>
        <v>16.901992138800026</v>
      </c>
      <c r="K60" s="17">
        <f>I60*가정!$C$36*(1+G60*가정!$C$19*가정!$C$24)</f>
        <v>8.4509960694000128</v>
      </c>
      <c r="L60" s="18">
        <f>가정!$C$38+D60*가정!$C$12+E60*가정!$C$17</f>
        <v>0.15</v>
      </c>
      <c r="M60" s="18">
        <f>가정!$C$38+가정!$C$23*(L60-가정!$C$38)</f>
        <v>0.15</v>
      </c>
      <c r="N60" s="19">
        <f t="shared" si="14"/>
        <v>505.40371062625678</v>
      </c>
      <c r="O60" s="20">
        <f>K60+가정!$C$33*M60+N60*L60</f>
        <v>145.16155266333851</v>
      </c>
      <c r="P60" s="21">
        <f>가정!$C$39*(1+D60*가정!$C$13)</f>
        <v>1.5468</v>
      </c>
      <c r="Q60" s="21">
        <f>1+F60*가정!$C$15</f>
        <v>1.0860000000000001</v>
      </c>
      <c r="R60" s="21">
        <f t="shared" si="8"/>
        <v>1.6798248</v>
      </c>
      <c r="S60" s="20">
        <f t="shared" si="9"/>
        <v>243.84597617038207</v>
      </c>
      <c r="T60" s="19">
        <f>IF(F60=1,가정!$C$16,가정!$C$40)</f>
        <v>29800</v>
      </c>
      <c r="U60" s="20">
        <f t="shared" si="10"/>
        <v>726.66100898773857</v>
      </c>
      <c r="V60" s="20">
        <f>U60/(1-가정!$C$41)*가정!$C$42</f>
        <v>764.90632525025114</v>
      </c>
      <c r="W60" s="19">
        <f>가정!$C$33+N60+K60</f>
        <v>919.85470669565677</v>
      </c>
      <c r="X60" s="19">
        <f t="shared" si="15"/>
        <v>1129.8547066956567</v>
      </c>
      <c r="Y60" s="19">
        <f t="shared" si="11"/>
        <v>2049.7094133913133</v>
      </c>
      <c r="Z60" s="20">
        <f t="shared" si="12"/>
        <v>224.53588965965201</v>
      </c>
    </row>
    <row r="61" spans="1:26" x14ac:dyDescent="0.3">
      <c r="A61" s="16">
        <v>58</v>
      </c>
      <c r="B61" s="16">
        <v>2031</v>
      </c>
      <c r="C61" s="16">
        <v>10</v>
      </c>
      <c r="D61" s="17">
        <f>가정!$E$6*MIN(1,MAX(0,(A61-가정!$C$28+1)/가정!$C$30))</f>
        <v>1</v>
      </c>
      <c r="E61" s="17">
        <f>IF(가정!$E$7&lt;30000,1,0)*MIN(1,MAX(0,(A61-가정!$C$29+1)/가정!$C$30))</f>
        <v>1</v>
      </c>
      <c r="F61" s="16">
        <f>IF(가정!$E$7&lt;30000,1,0)*IF(A61&gt;=가정!$C$29,1,0)</f>
        <v>1</v>
      </c>
      <c r="G61" s="17">
        <f>가정!$E$8*MIN(1,MAX(0,(A61-가정!$C$31+1)/가정!$C$32))</f>
        <v>0</v>
      </c>
      <c r="H61" s="18">
        <f>가정!$C$37+D61*가정!$C$14+E61*가정!$C$18</f>
        <v>-1E-3</v>
      </c>
      <c r="I61" s="17">
        <f t="shared" si="13"/>
        <v>16.885090146661227</v>
      </c>
      <c r="J61" s="17">
        <f>I61*(1+G61*가정!$C$19)</f>
        <v>16.885090146661227</v>
      </c>
      <c r="K61" s="17">
        <f>I61*가정!$C$36*(1+G61*가정!$C$19*가정!$C$24)</f>
        <v>8.4425450733306135</v>
      </c>
      <c r="L61" s="18">
        <f>가정!$C$38+D61*가정!$C$12+E61*가정!$C$17</f>
        <v>0.15</v>
      </c>
      <c r="M61" s="18">
        <f>가정!$C$38+가정!$C$23*(L61-가정!$C$38)</f>
        <v>0.15</v>
      </c>
      <c r="N61" s="19">
        <f t="shared" si="14"/>
        <v>513.85470669565677</v>
      </c>
      <c r="O61" s="20">
        <f>K61+가정!$C$33*M61+N61*L61</f>
        <v>146.42075107767914</v>
      </c>
      <c r="P61" s="21">
        <f>가정!$C$39*(1+D61*가정!$C$13)</f>
        <v>1.5468</v>
      </c>
      <c r="Q61" s="21">
        <f>1+F61*가정!$C$15</f>
        <v>1.0860000000000001</v>
      </c>
      <c r="R61" s="21">
        <f t="shared" si="8"/>
        <v>1.6798248</v>
      </c>
      <c r="S61" s="20">
        <f t="shared" si="9"/>
        <v>245.96120889491215</v>
      </c>
      <c r="T61" s="19">
        <f>IF(F61=1,가정!$C$16,가정!$C$40)</f>
        <v>29800</v>
      </c>
      <c r="U61" s="20">
        <f t="shared" si="10"/>
        <v>732.96440250683816</v>
      </c>
      <c r="V61" s="20">
        <f>U61/(1-가정!$C$41)*가정!$C$42</f>
        <v>771.54147632298759</v>
      </c>
      <c r="W61" s="19">
        <f>가정!$C$33+N61+K61</f>
        <v>928.29725176898739</v>
      </c>
      <c r="X61" s="19">
        <f t="shared" si="15"/>
        <v>1138.2972517689873</v>
      </c>
      <c r="Y61" s="19">
        <f t="shared" si="11"/>
        <v>2066.5945035379746</v>
      </c>
      <c r="Z61" s="20">
        <f t="shared" si="12"/>
        <v>226.4836177669541</v>
      </c>
    </row>
    <row r="62" spans="1:26" x14ac:dyDescent="0.3">
      <c r="A62" s="16">
        <v>59</v>
      </c>
      <c r="B62" s="16">
        <v>2031</v>
      </c>
      <c r="C62" s="16">
        <v>11</v>
      </c>
      <c r="D62" s="17">
        <f>가정!$E$6*MIN(1,MAX(0,(A62-가정!$C$28+1)/가정!$C$30))</f>
        <v>1</v>
      </c>
      <c r="E62" s="17">
        <f>IF(가정!$E$7&lt;30000,1,0)*MIN(1,MAX(0,(A62-가정!$C$29+1)/가정!$C$30))</f>
        <v>1</v>
      </c>
      <c r="F62" s="16">
        <f>IF(가정!$E$7&lt;30000,1,0)*IF(A62&gt;=가정!$C$29,1,0)</f>
        <v>1</v>
      </c>
      <c r="G62" s="17">
        <f>가정!$E$8*MIN(1,MAX(0,(A62-가정!$C$31+1)/가정!$C$32))</f>
        <v>0</v>
      </c>
      <c r="H62" s="18">
        <f>가정!$C$37+D62*가정!$C$14+E62*가정!$C$18</f>
        <v>-1E-3</v>
      </c>
      <c r="I62" s="17">
        <f t="shared" si="13"/>
        <v>16.868205056514565</v>
      </c>
      <c r="J62" s="17">
        <f>I62*(1+G62*가정!$C$19)</f>
        <v>16.868205056514565</v>
      </c>
      <c r="K62" s="17">
        <f>I62*가정!$C$36*(1+G62*가정!$C$19*가정!$C$24)</f>
        <v>8.4341025282572826</v>
      </c>
      <c r="L62" s="18">
        <f>가정!$C$38+D62*가정!$C$12+E62*가정!$C$17</f>
        <v>0.15</v>
      </c>
      <c r="M62" s="18">
        <f>가정!$C$38+가정!$C$23*(L62-가정!$C$38)</f>
        <v>0.15</v>
      </c>
      <c r="N62" s="19">
        <f t="shared" si="14"/>
        <v>522.29725176898739</v>
      </c>
      <c r="O62" s="20">
        <f>K62+가정!$C$33*M62+N62*L62</f>
        <v>147.67869029360537</v>
      </c>
      <c r="P62" s="21">
        <f>가정!$C$39*(1+D62*가정!$C$13)</f>
        <v>1.5468</v>
      </c>
      <c r="Q62" s="21">
        <f>1+F62*가정!$C$15</f>
        <v>1.0860000000000001</v>
      </c>
      <c r="R62" s="21">
        <f t="shared" si="8"/>
        <v>1.6798248</v>
      </c>
      <c r="S62" s="20">
        <f t="shared" si="9"/>
        <v>248.07432638671759</v>
      </c>
      <c r="T62" s="19">
        <f>IF(F62=1,가정!$C$16,가정!$C$40)</f>
        <v>29800</v>
      </c>
      <c r="U62" s="20">
        <f t="shared" si="10"/>
        <v>739.26149263241837</v>
      </c>
      <c r="V62" s="20">
        <f>U62/(1-가정!$C$41)*가정!$C$42</f>
        <v>778.16999224465098</v>
      </c>
      <c r="W62" s="19">
        <f>가정!$C$33+N62+K62</f>
        <v>936.73135429724471</v>
      </c>
      <c r="X62" s="19">
        <f t="shared" si="15"/>
        <v>1146.7313542972447</v>
      </c>
      <c r="Y62" s="19">
        <f t="shared" si="11"/>
        <v>2083.4627085944894</v>
      </c>
      <c r="Z62" s="20">
        <f t="shared" si="12"/>
        <v>228.42939814614877</v>
      </c>
    </row>
    <row r="63" spans="1:26" x14ac:dyDescent="0.3">
      <c r="A63" s="22">
        <v>60</v>
      </c>
      <c r="B63" s="22">
        <v>2031</v>
      </c>
      <c r="C63" s="22">
        <v>12</v>
      </c>
      <c r="D63" s="23">
        <f>가정!$E$6*MIN(1,MAX(0,(A63-가정!$C$28+1)/가정!$C$30))</f>
        <v>1</v>
      </c>
      <c r="E63" s="23">
        <f>IF(가정!$E$7&lt;30000,1,0)*MIN(1,MAX(0,(A63-가정!$C$29+1)/가정!$C$30))</f>
        <v>1</v>
      </c>
      <c r="F63" s="22">
        <f>IF(가정!$E$7&lt;30000,1,0)*IF(A63&gt;=가정!$C$29,1,0)</f>
        <v>1</v>
      </c>
      <c r="G63" s="23">
        <f>가정!$E$8*MIN(1,MAX(0,(A63-가정!$C$31+1)/가정!$C$32))</f>
        <v>0</v>
      </c>
      <c r="H63" s="24">
        <f>가정!$C$37+D63*가정!$C$14+E63*가정!$C$18</f>
        <v>-1E-3</v>
      </c>
      <c r="I63" s="23">
        <f t="shared" si="13"/>
        <v>16.851336851458051</v>
      </c>
      <c r="J63" s="23">
        <f>I63*(1+G63*가정!$C$19)</f>
        <v>16.851336851458051</v>
      </c>
      <c r="K63" s="23">
        <f>I63*가정!$C$36*(1+G63*가정!$C$19*가정!$C$24)</f>
        <v>8.4256684257290253</v>
      </c>
      <c r="L63" s="24">
        <f>가정!$C$38+D63*가정!$C$12+E63*가정!$C$17</f>
        <v>0.15</v>
      </c>
      <c r="M63" s="24">
        <f>가정!$C$38+가정!$C$23*(L63-가정!$C$38)</f>
        <v>0.15</v>
      </c>
      <c r="N63" s="25">
        <f t="shared" si="14"/>
        <v>530.73135429724471</v>
      </c>
      <c r="O63" s="26">
        <f>K63+가정!$C$33*M63+N63*L63</f>
        <v>148.93537157031574</v>
      </c>
      <c r="P63" s="27">
        <f>가정!$C$39*(1+D63*가정!$C$13)</f>
        <v>1.5468</v>
      </c>
      <c r="Q63" s="27">
        <f>1+F63*가정!$C$15</f>
        <v>1.0860000000000001</v>
      </c>
      <c r="R63" s="27">
        <f t="shared" si="8"/>
        <v>1.6798248</v>
      </c>
      <c r="S63" s="26">
        <f t="shared" si="9"/>
        <v>250.18533076103131</v>
      </c>
      <c r="T63" s="25">
        <f>IF(F63=1,가정!$C$16,가정!$C$40)</f>
        <v>29800</v>
      </c>
      <c r="U63" s="26">
        <f t="shared" si="10"/>
        <v>745.55228566787332</v>
      </c>
      <c r="V63" s="26">
        <f>U63/(1-가정!$C$41)*가정!$C$42</f>
        <v>784.79187965039296</v>
      </c>
      <c r="W63" s="25">
        <f>가정!$C$33+N63+K63</f>
        <v>945.15702272297369</v>
      </c>
      <c r="X63" s="25">
        <f t="shared" si="15"/>
        <v>1155.1570227229736</v>
      </c>
      <c r="Y63" s="25">
        <f t="shared" si="11"/>
        <v>2100.3140454459472</v>
      </c>
      <c r="Z63" s="26">
        <f t="shared" si="12"/>
        <v>230.37323274496438</v>
      </c>
    </row>
  </sheetData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63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V4" sqref="V4:V15"/>
    </sheetView>
  </sheetViews>
  <sheetFormatPr defaultRowHeight="16.5" x14ac:dyDescent="0.3"/>
  <cols>
    <col min="1" max="1" width="6" customWidth="1"/>
    <col min="2" max="2" width="7" customWidth="1"/>
    <col min="3" max="3" width="5" customWidth="1"/>
    <col min="4" max="5" width="8" customWidth="1"/>
    <col min="6" max="6" width="7" customWidth="1"/>
    <col min="7" max="8" width="9" customWidth="1"/>
    <col min="9" max="9" width="11" customWidth="1"/>
    <col min="10" max="10" width="10" customWidth="1"/>
    <col min="11" max="11" width="12" customWidth="1"/>
    <col min="12" max="14" width="11" customWidth="1"/>
    <col min="15" max="15" width="12" customWidth="1"/>
    <col min="16" max="16" width="10" customWidth="1"/>
    <col min="17" max="17" width="9" customWidth="1"/>
    <col min="18" max="18" width="10" customWidth="1"/>
    <col min="19" max="19" width="11" customWidth="1"/>
    <col min="20" max="20" width="10" customWidth="1"/>
    <col min="21" max="22" width="11" customWidth="1"/>
    <col min="23" max="23" width="12" customWidth="1"/>
    <col min="24" max="25" width="11" customWidth="1"/>
    <col min="26" max="26" width="12" customWidth="1"/>
  </cols>
  <sheetData>
    <row r="1" spans="1:26" ht="17.25" x14ac:dyDescent="0.3">
      <c r="A1" s="1" t="s">
        <v>133</v>
      </c>
    </row>
    <row r="2" spans="1:26" x14ac:dyDescent="0.3">
      <c r="A2" s="2" t="s">
        <v>105</v>
      </c>
    </row>
    <row r="3" spans="1:26" ht="39.950000000000003" customHeight="1" x14ac:dyDescent="0.3">
      <c r="A3" s="5" t="s">
        <v>53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5" t="s">
        <v>113</v>
      </c>
      <c r="J3" s="5" t="s">
        <v>114</v>
      </c>
      <c r="K3" s="5" t="s">
        <v>115</v>
      </c>
      <c r="L3" s="5" t="s">
        <v>116</v>
      </c>
      <c r="M3" s="5" t="s">
        <v>117</v>
      </c>
      <c r="N3" s="5" t="s">
        <v>118</v>
      </c>
      <c r="O3" s="5" t="s">
        <v>119</v>
      </c>
      <c r="P3" s="5" t="s">
        <v>120</v>
      </c>
      <c r="Q3" s="5" t="s">
        <v>121</v>
      </c>
      <c r="R3" s="5" t="s">
        <v>122</v>
      </c>
      <c r="S3" s="5" t="s">
        <v>123</v>
      </c>
      <c r="T3" s="5" t="s">
        <v>124</v>
      </c>
      <c r="U3" s="5" t="s">
        <v>125</v>
      </c>
      <c r="V3" s="5" t="s">
        <v>126</v>
      </c>
      <c r="W3" s="5" t="s">
        <v>127</v>
      </c>
      <c r="X3" s="5" t="s">
        <v>128</v>
      </c>
      <c r="Y3" s="5" t="s">
        <v>129</v>
      </c>
      <c r="Z3" s="5" t="s">
        <v>130</v>
      </c>
    </row>
    <row r="4" spans="1:26" x14ac:dyDescent="0.3">
      <c r="A4" s="16">
        <v>1</v>
      </c>
      <c r="B4" s="16">
        <v>2027</v>
      </c>
      <c r="C4" s="16">
        <v>1</v>
      </c>
      <c r="D4" s="17">
        <f>가정!$F$6*MIN(1,MAX(0,(A4-가정!$C$28+1)/가정!$C$30))</f>
        <v>0</v>
      </c>
      <c r="E4" s="17">
        <f>IF(가정!$F$7&lt;30000,1,0)*MIN(1,MAX(0,(A4-가정!$C$29+1)/가정!$C$30))</f>
        <v>0</v>
      </c>
      <c r="F4" s="16">
        <f>IF(가정!$F$7&lt;30000,1,0)*IF(A4&gt;=가정!$C$29,1,0)</f>
        <v>0</v>
      </c>
      <c r="G4" s="17">
        <f>가정!$F$8*MIN(1,MAX(0,(A4-가정!$C$31+1)/가정!$C$32))</f>
        <v>0</v>
      </c>
      <c r="H4" s="18">
        <f>가정!$C$37+D4*가정!$C$14+E4*가정!$C$18</f>
        <v>-5.0000000000000001E-3</v>
      </c>
      <c r="I4" s="17">
        <f>가정!$C$35</f>
        <v>20</v>
      </c>
      <c r="J4" s="17">
        <f>I4*(1+G4*가정!$C$19)</f>
        <v>20</v>
      </c>
      <c r="K4" s="17">
        <f>I4*가정!$C$36*(1+G4*가정!$C$19*가정!$C$24)</f>
        <v>10</v>
      </c>
      <c r="L4" s="18">
        <f>가정!$C$38+D4*가정!$C$12+E4*가정!$C$17</f>
        <v>0.111</v>
      </c>
      <c r="M4" s="18">
        <f>가정!$C$38+가정!$C$23*(L4-가정!$C$38)</f>
        <v>0.111</v>
      </c>
      <c r="N4" s="19">
        <f>0</f>
        <v>0</v>
      </c>
      <c r="O4" s="20">
        <f>K4+가정!$C$33*M4+N4*L4</f>
        <v>55.066000000000003</v>
      </c>
      <c r="P4" s="21">
        <f>가정!$C$39*(1+D4*가정!$C$13)</f>
        <v>1.2889999999999999</v>
      </c>
      <c r="Q4" s="21">
        <f>1+F4*가정!$C$15</f>
        <v>1</v>
      </c>
      <c r="R4" s="21">
        <f t="shared" ref="R4:R35" si="0">P4*Q4</f>
        <v>1.2889999999999999</v>
      </c>
      <c r="S4" s="20">
        <f t="shared" ref="S4:S35" si="1">O4*R4</f>
        <v>70.980074000000002</v>
      </c>
      <c r="T4" s="19">
        <f>IF(F4=1,가정!$C$16,가정!$C$40)</f>
        <v>31846</v>
      </c>
      <c r="U4" s="20">
        <f t="shared" ref="U4:U35" si="2">S4*T4/10000</f>
        <v>226.04314366040001</v>
      </c>
      <c r="V4" s="20">
        <f>U4/(1-가정!$C$41)*가정!$C$42</f>
        <v>237.94015122147371</v>
      </c>
      <c r="W4" s="19">
        <f>가정!$C$33+N4+K4</f>
        <v>416</v>
      </c>
      <c r="X4" s="19">
        <f>(가정!$C$34-가정!$C$33)+J4-K4</f>
        <v>626</v>
      </c>
      <c r="Y4" s="19">
        <f t="shared" ref="Y4:Y35" si="3">W4+X4</f>
        <v>1042</v>
      </c>
      <c r="Z4" s="20">
        <f t="shared" ref="Z4:Z35" si="4">O4*P4</f>
        <v>70.980074000000002</v>
      </c>
    </row>
    <row r="5" spans="1:26" x14ac:dyDescent="0.3">
      <c r="A5" s="16">
        <v>2</v>
      </c>
      <c r="B5" s="16">
        <v>2027</v>
      </c>
      <c r="C5" s="16">
        <v>2</v>
      </c>
      <c r="D5" s="17">
        <f>가정!$F$6*MIN(1,MAX(0,(A5-가정!$C$28+1)/가정!$C$30))</f>
        <v>0</v>
      </c>
      <c r="E5" s="17">
        <f>IF(가정!$F$7&lt;30000,1,0)*MIN(1,MAX(0,(A5-가정!$C$29+1)/가정!$C$30))</f>
        <v>0</v>
      </c>
      <c r="F5" s="16">
        <f>IF(가정!$F$7&lt;30000,1,0)*IF(A5&gt;=가정!$C$29,1,0)</f>
        <v>0</v>
      </c>
      <c r="G5" s="17">
        <f>가정!$F$8*MIN(1,MAX(0,(A5-가정!$C$31+1)/가정!$C$32))</f>
        <v>0</v>
      </c>
      <c r="H5" s="18">
        <f>가정!$C$37+D5*가정!$C$14+E5*가정!$C$18</f>
        <v>-5.0000000000000001E-3</v>
      </c>
      <c r="I5" s="17">
        <f t="shared" ref="I5:I36" si="5">I4*(1+H5)</f>
        <v>19.899999999999999</v>
      </c>
      <c r="J5" s="17">
        <f>I5*(1+G5*가정!$C$19)</f>
        <v>19.899999999999999</v>
      </c>
      <c r="K5" s="17">
        <f>I5*가정!$C$36*(1+G5*가정!$C$19*가정!$C$24)</f>
        <v>9.9499999999999993</v>
      </c>
      <c r="L5" s="18">
        <f>가정!$C$38+D5*가정!$C$12+E5*가정!$C$17</f>
        <v>0.111</v>
      </c>
      <c r="M5" s="18">
        <f>가정!$C$38+가정!$C$23*(L5-가정!$C$38)</f>
        <v>0.111</v>
      </c>
      <c r="N5" s="19">
        <f t="shared" ref="N5:N36" si="6">N4+K4</f>
        <v>10</v>
      </c>
      <c r="O5" s="20">
        <f>K5+가정!$C$33*M5+N5*L5</f>
        <v>56.126000000000005</v>
      </c>
      <c r="P5" s="21">
        <f>가정!$C$39*(1+D5*가정!$C$13)</f>
        <v>1.2889999999999999</v>
      </c>
      <c r="Q5" s="21">
        <f>1+F5*가정!$C$15</f>
        <v>1</v>
      </c>
      <c r="R5" s="21">
        <f t="shared" si="0"/>
        <v>1.2889999999999999</v>
      </c>
      <c r="S5" s="20">
        <f t="shared" si="1"/>
        <v>72.346413999999996</v>
      </c>
      <c r="T5" s="19">
        <f>IF(F5=1,가정!$C$16,가정!$C$40)</f>
        <v>31846</v>
      </c>
      <c r="U5" s="20">
        <f t="shared" si="2"/>
        <v>230.3943900244</v>
      </c>
      <c r="V5" s="20">
        <f>U5/(1-가정!$C$41)*가정!$C$42</f>
        <v>242.52041055200002</v>
      </c>
      <c r="W5" s="19">
        <f>가정!$C$33+N5+K5</f>
        <v>425.95</v>
      </c>
      <c r="X5" s="19">
        <f t="shared" ref="X5:X36" si="7">X4+J5-K5</f>
        <v>635.94999999999993</v>
      </c>
      <c r="Y5" s="19">
        <f t="shared" si="3"/>
        <v>1061.8999999999999</v>
      </c>
      <c r="Z5" s="20">
        <f t="shared" si="4"/>
        <v>72.346413999999996</v>
      </c>
    </row>
    <row r="6" spans="1:26" x14ac:dyDescent="0.3">
      <c r="A6" s="16">
        <v>3</v>
      </c>
      <c r="B6" s="16">
        <v>2027</v>
      </c>
      <c r="C6" s="16">
        <v>3</v>
      </c>
      <c r="D6" s="17">
        <f>가정!$F$6*MIN(1,MAX(0,(A6-가정!$C$28+1)/가정!$C$30))</f>
        <v>0</v>
      </c>
      <c r="E6" s="17">
        <f>IF(가정!$F$7&lt;30000,1,0)*MIN(1,MAX(0,(A6-가정!$C$29+1)/가정!$C$30))</f>
        <v>0</v>
      </c>
      <c r="F6" s="16">
        <f>IF(가정!$F$7&lt;30000,1,0)*IF(A6&gt;=가정!$C$29,1,0)</f>
        <v>0</v>
      </c>
      <c r="G6" s="17">
        <f>가정!$F$8*MIN(1,MAX(0,(A6-가정!$C$31+1)/가정!$C$32))</f>
        <v>0</v>
      </c>
      <c r="H6" s="18">
        <f>가정!$C$37+D6*가정!$C$14+E6*가정!$C$18</f>
        <v>-5.0000000000000001E-3</v>
      </c>
      <c r="I6" s="17">
        <f t="shared" si="5"/>
        <v>19.8005</v>
      </c>
      <c r="J6" s="17">
        <f>I6*(1+G6*가정!$C$19)</f>
        <v>19.8005</v>
      </c>
      <c r="K6" s="17">
        <f>I6*가정!$C$36*(1+G6*가정!$C$19*가정!$C$24)</f>
        <v>9.9002499999999998</v>
      </c>
      <c r="L6" s="18">
        <f>가정!$C$38+D6*가정!$C$12+E6*가정!$C$17</f>
        <v>0.111</v>
      </c>
      <c r="M6" s="18">
        <f>가정!$C$38+가정!$C$23*(L6-가정!$C$38)</f>
        <v>0.111</v>
      </c>
      <c r="N6" s="19">
        <f t="shared" si="6"/>
        <v>19.95</v>
      </c>
      <c r="O6" s="20">
        <f>K6+가정!$C$33*M6+N6*L6</f>
        <v>57.180700000000002</v>
      </c>
      <c r="P6" s="21">
        <f>가정!$C$39*(1+D6*가정!$C$13)</f>
        <v>1.2889999999999999</v>
      </c>
      <c r="Q6" s="21">
        <f>1+F6*가정!$C$15</f>
        <v>1</v>
      </c>
      <c r="R6" s="21">
        <f t="shared" si="0"/>
        <v>1.2889999999999999</v>
      </c>
      <c r="S6" s="20">
        <f t="shared" si="1"/>
        <v>73.705922299999997</v>
      </c>
      <c r="T6" s="19">
        <f>IF(F6=1,가정!$C$16,가정!$C$40)</f>
        <v>31846</v>
      </c>
      <c r="U6" s="20">
        <f t="shared" si="2"/>
        <v>234.72388015657998</v>
      </c>
      <c r="V6" s="20">
        <f>U6/(1-가정!$C$41)*가정!$C$42</f>
        <v>247.07776858587368</v>
      </c>
      <c r="W6" s="19">
        <f>가정!$C$33+N6+K6</f>
        <v>435.85024999999996</v>
      </c>
      <c r="X6" s="19">
        <f t="shared" si="7"/>
        <v>645.85024999999985</v>
      </c>
      <c r="Y6" s="19">
        <f t="shared" si="3"/>
        <v>1081.7004999999999</v>
      </c>
      <c r="Z6" s="20">
        <f t="shared" si="4"/>
        <v>73.705922299999997</v>
      </c>
    </row>
    <row r="7" spans="1:26" x14ac:dyDescent="0.3">
      <c r="A7" s="16">
        <v>4</v>
      </c>
      <c r="B7" s="16">
        <v>2027</v>
      </c>
      <c r="C7" s="16">
        <v>4</v>
      </c>
      <c r="D7" s="17">
        <f>가정!$F$6*MIN(1,MAX(0,(A7-가정!$C$28+1)/가정!$C$30))</f>
        <v>0</v>
      </c>
      <c r="E7" s="17">
        <f>IF(가정!$F$7&lt;30000,1,0)*MIN(1,MAX(0,(A7-가정!$C$29+1)/가정!$C$30))</f>
        <v>0</v>
      </c>
      <c r="F7" s="16">
        <f>IF(가정!$F$7&lt;30000,1,0)*IF(A7&gt;=가정!$C$29,1,0)</f>
        <v>0</v>
      </c>
      <c r="G7" s="17">
        <f>가정!$F$8*MIN(1,MAX(0,(A7-가정!$C$31+1)/가정!$C$32))</f>
        <v>0</v>
      </c>
      <c r="H7" s="18">
        <f>가정!$C$37+D7*가정!$C$14+E7*가정!$C$18</f>
        <v>-5.0000000000000001E-3</v>
      </c>
      <c r="I7" s="17">
        <f t="shared" si="5"/>
        <v>19.701497499999999</v>
      </c>
      <c r="J7" s="17">
        <f>I7*(1+G7*가정!$C$19)</f>
        <v>19.701497499999999</v>
      </c>
      <c r="K7" s="17">
        <f>I7*가정!$C$36*(1+G7*가정!$C$19*가정!$C$24)</f>
        <v>9.8507487499999993</v>
      </c>
      <c r="L7" s="18">
        <f>가정!$C$38+D7*가정!$C$12+E7*가정!$C$17</f>
        <v>0.111</v>
      </c>
      <c r="M7" s="18">
        <f>가정!$C$38+가정!$C$23*(L7-가정!$C$38)</f>
        <v>0.111</v>
      </c>
      <c r="N7" s="19">
        <f t="shared" si="6"/>
        <v>29.850249999999999</v>
      </c>
      <c r="O7" s="20">
        <f>K7+가정!$C$33*M7+N7*L7</f>
        <v>58.230126500000004</v>
      </c>
      <c r="P7" s="21">
        <f>가정!$C$39*(1+D7*가정!$C$13)</f>
        <v>1.2889999999999999</v>
      </c>
      <c r="Q7" s="21">
        <f>1+F7*가정!$C$15</f>
        <v>1</v>
      </c>
      <c r="R7" s="21">
        <f t="shared" si="0"/>
        <v>1.2889999999999999</v>
      </c>
      <c r="S7" s="20">
        <f t="shared" si="1"/>
        <v>75.058633058500007</v>
      </c>
      <c r="T7" s="19">
        <f>IF(F7=1,가정!$C$16,가정!$C$40)</f>
        <v>31846</v>
      </c>
      <c r="U7" s="20">
        <f t="shared" si="2"/>
        <v>239.03172283809911</v>
      </c>
      <c r="V7" s="20">
        <f>U7/(1-가정!$C$41)*가정!$C$42</f>
        <v>251.61233982957802</v>
      </c>
      <c r="W7" s="19">
        <f>가정!$C$33+N7+K7</f>
        <v>445.70099875</v>
      </c>
      <c r="X7" s="19">
        <f t="shared" si="7"/>
        <v>655.70099874999983</v>
      </c>
      <c r="Y7" s="19">
        <f t="shared" si="3"/>
        <v>1101.4019974999999</v>
      </c>
      <c r="Z7" s="20">
        <f t="shared" si="4"/>
        <v>75.058633058500007</v>
      </c>
    </row>
    <row r="8" spans="1:26" x14ac:dyDescent="0.3">
      <c r="A8" s="16">
        <v>5</v>
      </c>
      <c r="B8" s="16">
        <v>2027</v>
      </c>
      <c r="C8" s="16">
        <v>5</v>
      </c>
      <c r="D8" s="17">
        <f>가정!$F$6*MIN(1,MAX(0,(A8-가정!$C$28+1)/가정!$C$30))</f>
        <v>0</v>
      </c>
      <c r="E8" s="17">
        <f>IF(가정!$F$7&lt;30000,1,0)*MIN(1,MAX(0,(A8-가정!$C$29+1)/가정!$C$30))</f>
        <v>0</v>
      </c>
      <c r="F8" s="16">
        <f>IF(가정!$F$7&lt;30000,1,0)*IF(A8&gt;=가정!$C$29,1,0)</f>
        <v>0</v>
      </c>
      <c r="G8" s="17">
        <f>가정!$F$8*MIN(1,MAX(0,(A8-가정!$C$31+1)/가정!$C$32))</f>
        <v>8.3333333333333329E-2</v>
      </c>
      <c r="H8" s="18">
        <f>가정!$C$37+D8*가정!$C$14+E8*가정!$C$18</f>
        <v>-5.0000000000000001E-3</v>
      </c>
      <c r="I8" s="17">
        <f t="shared" si="5"/>
        <v>19.602990012499998</v>
      </c>
      <c r="J8" s="17">
        <f>I8*(1+G8*가정!$C$19)</f>
        <v>20.060393112791665</v>
      </c>
      <c r="K8" s="17">
        <f>I8*가정!$C$36*(1+G8*가정!$C$19*가정!$C$24)</f>
        <v>10.030196556395833</v>
      </c>
      <c r="L8" s="18">
        <f>가정!$C$38+D8*가정!$C$12+E8*가정!$C$17</f>
        <v>0.111</v>
      </c>
      <c r="M8" s="18">
        <f>가정!$C$38+가정!$C$23*(L8-가정!$C$38)</f>
        <v>0.111</v>
      </c>
      <c r="N8" s="19">
        <f t="shared" si="6"/>
        <v>39.700998749999997</v>
      </c>
      <c r="O8" s="20">
        <f>K8+가정!$C$33*M8+N8*L8</f>
        <v>59.50300741764584</v>
      </c>
      <c r="P8" s="21">
        <f>가정!$C$39*(1+D8*가정!$C$13)</f>
        <v>1.2889999999999999</v>
      </c>
      <c r="Q8" s="21">
        <f>1+F8*가정!$C$15</f>
        <v>1</v>
      </c>
      <c r="R8" s="21">
        <f t="shared" si="0"/>
        <v>1.2889999999999999</v>
      </c>
      <c r="S8" s="20">
        <f t="shared" si="1"/>
        <v>76.699376561345488</v>
      </c>
      <c r="T8" s="19">
        <f>IF(F8=1,가정!$C$16,가정!$C$40)</f>
        <v>31846</v>
      </c>
      <c r="U8" s="20">
        <f t="shared" si="2"/>
        <v>244.25683459726082</v>
      </c>
      <c r="V8" s="20">
        <f>U8/(1-가정!$C$41)*가정!$C$42</f>
        <v>257.11245747080085</v>
      </c>
      <c r="W8" s="19">
        <f>가정!$C$33+N8+K8</f>
        <v>455.73119530639582</v>
      </c>
      <c r="X8" s="19">
        <f t="shared" si="7"/>
        <v>665.73119530639565</v>
      </c>
      <c r="Y8" s="19">
        <f t="shared" si="3"/>
        <v>1121.4623906127915</v>
      </c>
      <c r="Z8" s="20">
        <f t="shared" si="4"/>
        <v>76.699376561345488</v>
      </c>
    </row>
    <row r="9" spans="1:26" x14ac:dyDescent="0.3">
      <c r="A9" s="16">
        <v>6</v>
      </c>
      <c r="B9" s="16">
        <v>2027</v>
      </c>
      <c r="C9" s="16">
        <v>6</v>
      </c>
      <c r="D9" s="17">
        <f>가정!$F$6*MIN(1,MAX(0,(A9-가정!$C$28+1)/가정!$C$30))</f>
        <v>2.0833333333333332E-2</v>
      </c>
      <c r="E9" s="17">
        <f>IF(가정!$F$7&lt;30000,1,0)*MIN(1,MAX(0,(A9-가정!$C$29+1)/가정!$C$30))</f>
        <v>0</v>
      </c>
      <c r="F9" s="16">
        <f>IF(가정!$F$7&lt;30000,1,0)*IF(A9&gt;=가정!$C$29,1,0)</f>
        <v>0</v>
      </c>
      <c r="G9" s="17">
        <f>가정!$F$8*MIN(1,MAX(0,(A9-가정!$C$31+1)/가정!$C$32))</f>
        <v>0.16666666666666666</v>
      </c>
      <c r="H9" s="18">
        <f>가정!$C$37+D9*가정!$C$14+E9*가정!$C$18</f>
        <v>-4.9583333333333337E-3</v>
      </c>
      <c r="I9" s="17">
        <f t="shared" si="5"/>
        <v>19.50579185368802</v>
      </c>
      <c r="J9" s="17">
        <f>I9*(1+G9*가정!$C$19)</f>
        <v>20.416062140193461</v>
      </c>
      <c r="K9" s="17">
        <f>I9*가정!$C$36*(1+G9*가정!$C$19*가정!$C$24)</f>
        <v>10.20803107009673</v>
      </c>
      <c r="L9" s="18">
        <f>가정!$C$38+D9*가정!$C$12+E9*가정!$C$17</f>
        <v>0.11139583333333333</v>
      </c>
      <c r="M9" s="18">
        <f>가정!$C$38+가정!$C$23*(L9-가정!$C$38)</f>
        <v>0.11139583333333333</v>
      </c>
      <c r="N9" s="19">
        <f t="shared" si="6"/>
        <v>49.731195306395833</v>
      </c>
      <c r="O9" s="20">
        <f>K9+가정!$C$33*M9+N9*L9</f>
        <v>60.974587347248786</v>
      </c>
      <c r="P9" s="21">
        <f>가정!$C$39*(1+D9*가정!$C$13)</f>
        <v>1.2943708333333332</v>
      </c>
      <c r="Q9" s="21">
        <f>1+F9*가정!$C$15</f>
        <v>1</v>
      </c>
      <c r="R9" s="21">
        <f t="shared" si="0"/>
        <v>1.2943708333333332</v>
      </c>
      <c r="S9" s="20">
        <f t="shared" si="1"/>
        <v>78.923727436814531</v>
      </c>
      <c r="T9" s="19">
        <f>IF(F9=1,가정!$C$16,가정!$C$40)</f>
        <v>31846</v>
      </c>
      <c r="U9" s="20">
        <f t="shared" si="2"/>
        <v>251.34050239527957</v>
      </c>
      <c r="V9" s="20">
        <f>U9/(1-가정!$C$41)*가정!$C$42</f>
        <v>264.56894988976796</v>
      </c>
      <c r="W9" s="19">
        <f>가정!$C$33+N9+K9</f>
        <v>465.93922637649257</v>
      </c>
      <c r="X9" s="19">
        <f t="shared" si="7"/>
        <v>675.93922637649246</v>
      </c>
      <c r="Y9" s="19">
        <f t="shared" si="3"/>
        <v>1141.8784527529851</v>
      </c>
      <c r="Z9" s="20">
        <f t="shared" si="4"/>
        <v>78.923727436814531</v>
      </c>
    </row>
    <row r="10" spans="1:26" x14ac:dyDescent="0.3">
      <c r="A10" s="16">
        <v>7</v>
      </c>
      <c r="B10" s="16">
        <v>2027</v>
      </c>
      <c r="C10" s="16">
        <v>7</v>
      </c>
      <c r="D10" s="17">
        <f>가정!$F$6*MIN(1,MAX(0,(A10-가정!$C$28+1)/가정!$C$30))</f>
        <v>4.1666666666666664E-2</v>
      </c>
      <c r="E10" s="17">
        <f>IF(가정!$F$7&lt;30000,1,0)*MIN(1,MAX(0,(A10-가정!$C$29+1)/가정!$C$30))</f>
        <v>2.0833333333333332E-2</v>
      </c>
      <c r="F10" s="16">
        <f>IF(가정!$F$7&lt;30000,1,0)*IF(A10&gt;=가정!$C$29,1,0)</f>
        <v>1</v>
      </c>
      <c r="G10" s="17">
        <f>가정!$F$8*MIN(1,MAX(0,(A10-가정!$C$31+1)/가정!$C$32))</f>
        <v>0.25</v>
      </c>
      <c r="H10" s="18">
        <f>가정!$C$37+D10*가정!$C$14+E10*가정!$C$18</f>
        <v>-4.875E-3</v>
      </c>
      <c r="I10" s="17">
        <f t="shared" si="5"/>
        <v>19.410701118401292</v>
      </c>
      <c r="J10" s="17">
        <f>I10*(1+G10*가정!$C$19)</f>
        <v>20.769450196689384</v>
      </c>
      <c r="K10" s="17">
        <f>I10*가정!$C$36*(1+G10*가정!$C$19*가정!$C$24)</f>
        <v>10.384725098344692</v>
      </c>
      <c r="L10" s="18">
        <f>가정!$C$38+D10*가정!$C$12+E10*가정!$C$17</f>
        <v>0.11220833333333333</v>
      </c>
      <c r="M10" s="18">
        <f>가정!$C$38+가정!$C$23*(L10-가정!$C$38)</f>
        <v>0.11220833333333333</v>
      </c>
      <c r="N10" s="19">
        <f t="shared" si="6"/>
        <v>59.939226376492563</v>
      </c>
      <c r="O10" s="20">
        <f>K10+가정!$C$33*M10+N10*L10</f>
        <v>62.666989124673627</v>
      </c>
      <c r="P10" s="21">
        <f>가정!$C$39*(1+D10*가정!$C$13)</f>
        <v>1.2997416666666666</v>
      </c>
      <c r="Q10" s="21">
        <f>1+F10*가정!$C$15</f>
        <v>1.0860000000000001</v>
      </c>
      <c r="R10" s="21">
        <f t="shared" si="0"/>
        <v>1.4115194499999999</v>
      </c>
      <c r="S10" s="20">
        <f t="shared" si="1"/>
        <v>88.455674022415295</v>
      </c>
      <c r="T10" s="19">
        <f>IF(F10=1,가정!$C$16,가정!$C$40)</f>
        <v>29800</v>
      </c>
      <c r="U10" s="20">
        <f t="shared" si="2"/>
        <v>263.59790858679759</v>
      </c>
      <c r="V10" s="20">
        <f>U10/(1-가정!$C$41)*가정!$C$42</f>
        <v>277.47148272294481</v>
      </c>
      <c r="W10" s="19">
        <f>가정!$C$33+N10+K10</f>
        <v>476.32395147483726</v>
      </c>
      <c r="X10" s="19">
        <f t="shared" si="7"/>
        <v>686.32395147483714</v>
      </c>
      <c r="Y10" s="19">
        <f t="shared" si="3"/>
        <v>1162.6479029496745</v>
      </c>
      <c r="Z10" s="20">
        <f t="shared" si="4"/>
        <v>81.450896889885172</v>
      </c>
    </row>
    <row r="11" spans="1:26" x14ac:dyDescent="0.3">
      <c r="A11" s="16">
        <v>8</v>
      </c>
      <c r="B11" s="16">
        <v>2027</v>
      </c>
      <c r="C11" s="16">
        <v>8</v>
      </c>
      <c r="D11" s="17">
        <f>가정!$F$6*MIN(1,MAX(0,(A11-가정!$C$28+1)/가정!$C$30))</f>
        <v>6.25E-2</v>
      </c>
      <c r="E11" s="17">
        <f>IF(가정!$F$7&lt;30000,1,0)*MIN(1,MAX(0,(A11-가정!$C$29+1)/가정!$C$30))</f>
        <v>4.1666666666666664E-2</v>
      </c>
      <c r="F11" s="16">
        <f>IF(가정!$F$7&lt;30000,1,0)*IF(A11&gt;=가정!$C$29,1,0)</f>
        <v>1</v>
      </c>
      <c r="G11" s="17">
        <f>가정!$F$8*MIN(1,MAX(0,(A11-가정!$C$31+1)/가정!$C$32))</f>
        <v>0.33333333333333331</v>
      </c>
      <c r="H11" s="18">
        <f>가정!$C$37+D11*가정!$C$14+E11*가정!$C$18</f>
        <v>-4.7916666666666663E-3</v>
      </c>
      <c r="I11" s="17">
        <f t="shared" si="5"/>
        <v>19.317691508875619</v>
      </c>
      <c r="J11" s="17">
        <f>I11*(1+G11*가정!$C$19)</f>
        <v>21.120676049704009</v>
      </c>
      <c r="K11" s="17">
        <f>I11*가정!$C$36*(1+G11*가정!$C$19*가정!$C$24)</f>
        <v>10.560338024852005</v>
      </c>
      <c r="L11" s="18">
        <f>가정!$C$38+D11*가정!$C$12+E11*가정!$C$17</f>
        <v>0.11302083333333333</v>
      </c>
      <c r="M11" s="18">
        <f>가정!$C$38+가정!$C$23*(L11-가정!$C$38)</f>
        <v>0.11302083333333333</v>
      </c>
      <c r="N11" s="19">
        <f t="shared" si="6"/>
        <v>70.323951474837259</v>
      </c>
      <c r="O11" s="20">
        <f>K11+가정!$C$33*M11+N11*L11</f>
        <v>64.394867957164337</v>
      </c>
      <c r="P11" s="21">
        <f>가정!$C$39*(1+D11*가정!$C$13)</f>
        <v>1.3051124999999999</v>
      </c>
      <c r="Q11" s="21">
        <f>1+F11*가정!$C$15</f>
        <v>1.0860000000000001</v>
      </c>
      <c r="R11" s="21">
        <f t="shared" si="0"/>
        <v>1.417352175</v>
      </c>
      <c r="S11" s="20">
        <f t="shared" si="1"/>
        <v>91.270206157924676</v>
      </c>
      <c r="T11" s="19">
        <f>IF(F11=1,가정!$C$16,가정!$C$40)</f>
        <v>29800</v>
      </c>
      <c r="U11" s="20">
        <f t="shared" si="2"/>
        <v>271.98521435061554</v>
      </c>
      <c r="V11" s="20">
        <f>U11/(1-가정!$C$41)*가정!$C$42</f>
        <v>286.3002256322269</v>
      </c>
      <c r="W11" s="19">
        <f>가정!$C$33+N11+K11</f>
        <v>486.88428949968926</v>
      </c>
      <c r="X11" s="19">
        <f t="shared" si="7"/>
        <v>696.88428949968909</v>
      </c>
      <c r="Y11" s="19">
        <f t="shared" si="3"/>
        <v>1183.7685789993784</v>
      </c>
      <c r="Z11" s="20">
        <f t="shared" si="4"/>
        <v>84.042547106744635</v>
      </c>
    </row>
    <row r="12" spans="1:26" x14ac:dyDescent="0.3">
      <c r="A12" s="16">
        <v>9</v>
      </c>
      <c r="B12" s="16">
        <v>2027</v>
      </c>
      <c r="C12" s="16">
        <v>9</v>
      </c>
      <c r="D12" s="17">
        <f>가정!$F$6*MIN(1,MAX(0,(A12-가정!$C$28+1)/가정!$C$30))</f>
        <v>8.3333333333333329E-2</v>
      </c>
      <c r="E12" s="17">
        <f>IF(가정!$F$7&lt;30000,1,0)*MIN(1,MAX(0,(A12-가정!$C$29+1)/가정!$C$30))</f>
        <v>6.25E-2</v>
      </c>
      <c r="F12" s="16">
        <f>IF(가정!$F$7&lt;30000,1,0)*IF(A12&gt;=가정!$C$29,1,0)</f>
        <v>1</v>
      </c>
      <c r="G12" s="17">
        <f>가정!$F$8*MIN(1,MAX(0,(A12-가정!$C$31+1)/가정!$C$32))</f>
        <v>0.41666666666666669</v>
      </c>
      <c r="H12" s="18">
        <f>가정!$C$37+D12*가정!$C$14+E12*가정!$C$18</f>
        <v>-4.7083333333333335E-3</v>
      </c>
      <c r="I12" s="17">
        <f t="shared" si="5"/>
        <v>19.22673737802133</v>
      </c>
      <c r="J12" s="17">
        <f>I12*(1+G12*가정!$C$19)</f>
        <v>21.469856738790487</v>
      </c>
      <c r="K12" s="17">
        <f>I12*가정!$C$36*(1+G12*가정!$C$19*가정!$C$24)</f>
        <v>10.734928369395243</v>
      </c>
      <c r="L12" s="18">
        <f>가정!$C$38+D12*가정!$C$12+E12*가정!$C$17</f>
        <v>0.11383333333333334</v>
      </c>
      <c r="M12" s="18">
        <f>가정!$C$38+가정!$C$23*(L12-가정!$C$38)</f>
        <v>0.11383333333333334</v>
      </c>
      <c r="N12" s="19">
        <f t="shared" si="6"/>
        <v>80.88428949968926</v>
      </c>
      <c r="O12" s="20">
        <f>K12+가정!$C$33*M12+N12*L12</f>
        <v>66.158589990776534</v>
      </c>
      <c r="P12" s="21">
        <f>가정!$C$39*(1+D12*가정!$C$13)</f>
        <v>1.3104833333333332</v>
      </c>
      <c r="Q12" s="21">
        <f>1+F12*가정!$C$15</f>
        <v>1.0860000000000001</v>
      </c>
      <c r="R12" s="21">
        <f t="shared" si="0"/>
        <v>1.4231849000000001</v>
      </c>
      <c r="S12" s="20">
        <f t="shared" si="1"/>
        <v>94.155906280164302</v>
      </c>
      <c r="T12" s="19">
        <f>IF(F12=1,가정!$C$16,가정!$C$40)</f>
        <v>29800</v>
      </c>
      <c r="U12" s="20">
        <f t="shared" si="2"/>
        <v>280.58460071488963</v>
      </c>
      <c r="V12" s="20">
        <f>U12/(1-가정!$C$41)*가정!$C$42</f>
        <v>295.35221127883119</v>
      </c>
      <c r="W12" s="19">
        <f>가정!$C$33+N12+K12</f>
        <v>497.61921786908448</v>
      </c>
      <c r="X12" s="19">
        <f t="shared" si="7"/>
        <v>707.61921786908431</v>
      </c>
      <c r="Y12" s="19">
        <f t="shared" si="3"/>
        <v>1205.2384357381688</v>
      </c>
      <c r="Z12" s="20">
        <f t="shared" si="4"/>
        <v>86.69972953974613</v>
      </c>
    </row>
    <row r="13" spans="1:26" x14ac:dyDescent="0.3">
      <c r="A13" s="16">
        <v>10</v>
      </c>
      <c r="B13" s="16">
        <v>2027</v>
      </c>
      <c r="C13" s="16">
        <v>10</v>
      </c>
      <c r="D13" s="17">
        <f>가정!$F$6*MIN(1,MAX(0,(A13-가정!$C$28+1)/가정!$C$30))</f>
        <v>0.10416666666666667</v>
      </c>
      <c r="E13" s="17">
        <f>IF(가정!$F$7&lt;30000,1,0)*MIN(1,MAX(0,(A13-가정!$C$29+1)/가정!$C$30))</f>
        <v>8.3333333333333329E-2</v>
      </c>
      <c r="F13" s="16">
        <f>IF(가정!$F$7&lt;30000,1,0)*IF(A13&gt;=가정!$C$29,1,0)</f>
        <v>1</v>
      </c>
      <c r="G13" s="17">
        <f>가정!$F$8*MIN(1,MAX(0,(A13-가정!$C$31+1)/가정!$C$32))</f>
        <v>0.5</v>
      </c>
      <c r="H13" s="18">
        <f>가정!$C$37+D13*가정!$C$14+E13*가정!$C$18</f>
        <v>-4.6250000000000006E-3</v>
      </c>
      <c r="I13" s="17">
        <f t="shared" si="5"/>
        <v>19.13781371764798</v>
      </c>
      <c r="J13" s="17">
        <f>I13*(1+G13*가정!$C$19)</f>
        <v>21.817107638118699</v>
      </c>
      <c r="K13" s="17">
        <f>I13*가정!$C$36*(1+G13*가정!$C$19*가정!$C$24)</f>
        <v>10.90855381905935</v>
      </c>
      <c r="L13" s="18">
        <f>가정!$C$38+D13*가정!$C$12+E13*가정!$C$17</f>
        <v>0.11464583333333334</v>
      </c>
      <c r="M13" s="18">
        <f>가정!$C$38+가정!$C$23*(L13-가정!$C$38)</f>
        <v>0.11464583333333334</v>
      </c>
      <c r="N13" s="19">
        <f t="shared" si="6"/>
        <v>91.619217869084508</v>
      </c>
      <c r="O13" s="20">
        <f>K13+가정!$C$33*M13+N13*L13</f>
        <v>67.958523734342094</v>
      </c>
      <c r="P13" s="21">
        <f>가정!$C$39*(1+D13*가정!$C$13)</f>
        <v>1.3158541666666665</v>
      </c>
      <c r="Q13" s="21">
        <f>1+F13*가정!$C$15</f>
        <v>1.0860000000000001</v>
      </c>
      <c r="R13" s="21">
        <f t="shared" si="0"/>
        <v>1.429017625</v>
      </c>
      <c r="S13" s="20">
        <f t="shared" si="1"/>
        <v>97.113928185355661</v>
      </c>
      <c r="T13" s="19">
        <f>IF(F13=1,가정!$C$16,가정!$C$40)</f>
        <v>29800</v>
      </c>
      <c r="U13" s="20">
        <f t="shared" si="2"/>
        <v>289.39950599235988</v>
      </c>
      <c r="V13" s="20">
        <f>U13/(1-가정!$C$41)*가정!$C$42</f>
        <v>304.63105893932618</v>
      </c>
      <c r="W13" s="19">
        <f>가정!$C$33+N13+K13</f>
        <v>508.5277716881439</v>
      </c>
      <c r="X13" s="19">
        <f t="shared" si="7"/>
        <v>718.52777168814373</v>
      </c>
      <c r="Y13" s="19">
        <f t="shared" si="3"/>
        <v>1227.0555433762877</v>
      </c>
      <c r="Z13" s="20">
        <f t="shared" si="4"/>
        <v>89.423506616349599</v>
      </c>
    </row>
    <row r="14" spans="1:26" x14ac:dyDescent="0.3">
      <c r="A14" s="16">
        <v>11</v>
      </c>
      <c r="B14" s="16">
        <v>2027</v>
      </c>
      <c r="C14" s="16">
        <v>11</v>
      </c>
      <c r="D14" s="17">
        <f>가정!$F$6*MIN(1,MAX(0,(A14-가정!$C$28+1)/가정!$C$30))</f>
        <v>0.125</v>
      </c>
      <c r="E14" s="17">
        <f>IF(가정!$F$7&lt;30000,1,0)*MIN(1,MAX(0,(A14-가정!$C$29+1)/가정!$C$30))</f>
        <v>0.10416666666666667</v>
      </c>
      <c r="F14" s="16">
        <f>IF(가정!$F$7&lt;30000,1,0)*IF(A14&gt;=가정!$C$29,1,0)</f>
        <v>1</v>
      </c>
      <c r="G14" s="17">
        <f>가정!$F$8*MIN(1,MAX(0,(A14-가정!$C$31+1)/가정!$C$32))</f>
        <v>0.58333333333333337</v>
      </c>
      <c r="H14" s="18">
        <f>가정!$C$37+D14*가정!$C$14+E14*가정!$C$18</f>
        <v>-4.5416666666666669E-3</v>
      </c>
      <c r="I14" s="17">
        <f t="shared" si="5"/>
        <v>19.050896147013663</v>
      </c>
      <c r="J14" s="17">
        <f>I14*(1+G14*가정!$C$19)</f>
        <v>22.162542517692561</v>
      </c>
      <c r="K14" s="17">
        <f>I14*가정!$C$36*(1+G14*가정!$C$19*가정!$C$24)</f>
        <v>11.081271258846281</v>
      </c>
      <c r="L14" s="18">
        <f>가정!$C$38+D14*가정!$C$12+E14*가정!$C$17</f>
        <v>0.11545833333333334</v>
      </c>
      <c r="M14" s="18">
        <f>가정!$C$38+가정!$C$23*(L14-가정!$C$38)</f>
        <v>0.11545833333333334</v>
      </c>
      <c r="N14" s="19">
        <f t="shared" si="6"/>
        <v>102.52777168814386</v>
      </c>
      <c r="O14" s="20">
        <f>K14+가정!$C$33*M14+N14*L14</f>
        <v>69.795040231673227</v>
      </c>
      <c r="P14" s="21">
        <f>가정!$C$39*(1+D14*가정!$C$13)</f>
        <v>1.3212249999999999</v>
      </c>
      <c r="Q14" s="21">
        <f>1+F14*가정!$C$15</f>
        <v>1.0860000000000001</v>
      </c>
      <c r="R14" s="21">
        <f t="shared" si="0"/>
        <v>1.4348503500000001</v>
      </c>
      <c r="S14" s="20">
        <f t="shared" si="1"/>
        <v>100.14543790468042</v>
      </c>
      <c r="T14" s="19">
        <f>IF(F14=1,가정!$C$16,가정!$C$40)</f>
        <v>29800</v>
      </c>
      <c r="U14" s="20">
        <f t="shared" si="2"/>
        <v>298.43340495594765</v>
      </c>
      <c r="V14" s="20">
        <f>U14/(1-가정!$C$41)*가정!$C$42</f>
        <v>314.14042626941858</v>
      </c>
      <c r="W14" s="19">
        <f>가정!$C$33+N14+K14</f>
        <v>519.60904294699014</v>
      </c>
      <c r="X14" s="19">
        <f t="shared" si="7"/>
        <v>729.60904294699003</v>
      </c>
      <c r="Y14" s="19">
        <f t="shared" si="3"/>
        <v>1249.2180858939801</v>
      </c>
      <c r="Z14" s="20">
        <f t="shared" si="4"/>
        <v>92.214952030092448</v>
      </c>
    </row>
    <row r="15" spans="1:26" x14ac:dyDescent="0.3">
      <c r="A15" s="22">
        <v>12</v>
      </c>
      <c r="B15" s="22">
        <v>2027</v>
      </c>
      <c r="C15" s="22">
        <v>12</v>
      </c>
      <c r="D15" s="23">
        <f>가정!$F$6*MIN(1,MAX(0,(A15-가정!$C$28+1)/가정!$C$30))</f>
        <v>0.14583333333333334</v>
      </c>
      <c r="E15" s="23">
        <f>IF(가정!$F$7&lt;30000,1,0)*MIN(1,MAX(0,(A15-가정!$C$29+1)/가정!$C$30))</f>
        <v>0.125</v>
      </c>
      <c r="F15" s="22">
        <f>IF(가정!$F$7&lt;30000,1,0)*IF(A15&gt;=가정!$C$29,1,0)</f>
        <v>1</v>
      </c>
      <c r="G15" s="23">
        <f>가정!$F$8*MIN(1,MAX(0,(A15-가정!$C$31+1)/가정!$C$32))</f>
        <v>0.66666666666666663</v>
      </c>
      <c r="H15" s="24">
        <f>가정!$C$37+D15*가정!$C$14+E15*가정!$C$18</f>
        <v>-4.4583333333333332E-3</v>
      </c>
      <c r="I15" s="23">
        <f t="shared" si="5"/>
        <v>18.96596090169156</v>
      </c>
      <c r="J15" s="23">
        <f>I15*(1+G15*가정!$C$19)</f>
        <v>22.506273603340652</v>
      </c>
      <c r="K15" s="23">
        <f>I15*가정!$C$36*(1+G15*가정!$C$19*가정!$C$24)</f>
        <v>11.253136801670326</v>
      </c>
      <c r="L15" s="24">
        <f>가정!$C$38+D15*가정!$C$12+E15*가정!$C$17</f>
        <v>0.11627083333333334</v>
      </c>
      <c r="M15" s="24">
        <f>가정!$C$38+가정!$C$23*(L15-가정!$C$38)</f>
        <v>0.11627083333333334</v>
      </c>
      <c r="N15" s="25">
        <f t="shared" si="6"/>
        <v>113.60904294699014</v>
      </c>
      <c r="O15" s="26">
        <f>K15+가정!$C$33*M15+N15*L15</f>
        <v>71.668513232652657</v>
      </c>
      <c r="P15" s="27">
        <f>가정!$C$39*(1+D15*가정!$C$13)</f>
        <v>1.3265958333333332</v>
      </c>
      <c r="Q15" s="27">
        <f>1+F15*가정!$C$15</f>
        <v>1.0860000000000001</v>
      </c>
      <c r="R15" s="27">
        <f t="shared" si="0"/>
        <v>1.4406830749999999</v>
      </c>
      <c r="S15" s="26">
        <f t="shared" si="1"/>
        <v>103.25161402469621</v>
      </c>
      <c r="T15" s="25">
        <f>IF(F15=1,가정!$C$16,가정!$C$40)</f>
        <v>29800</v>
      </c>
      <c r="U15" s="26">
        <f t="shared" si="2"/>
        <v>307.68980979359469</v>
      </c>
      <c r="V15" s="26">
        <f>U15/(1-가정!$C$41)*가정!$C$42</f>
        <v>323.88401030904708</v>
      </c>
      <c r="W15" s="25">
        <f>가정!$C$33+N15+K15</f>
        <v>530.86217974866042</v>
      </c>
      <c r="X15" s="25">
        <f t="shared" si="7"/>
        <v>740.86217974866042</v>
      </c>
      <c r="Y15" s="25">
        <f t="shared" si="3"/>
        <v>1271.7243594973208</v>
      </c>
      <c r="Z15" s="26">
        <f t="shared" si="4"/>
        <v>95.075151035631876</v>
      </c>
    </row>
    <row r="16" spans="1:26" x14ac:dyDescent="0.3">
      <c r="A16" s="16">
        <v>13</v>
      </c>
      <c r="B16" s="16">
        <v>2028</v>
      </c>
      <c r="C16" s="16">
        <v>1</v>
      </c>
      <c r="D16" s="17">
        <f>가정!$F$6*MIN(1,MAX(0,(A16-가정!$C$28+1)/가정!$C$30))</f>
        <v>0.16666666666666666</v>
      </c>
      <c r="E16" s="17">
        <f>IF(가정!$F$7&lt;30000,1,0)*MIN(1,MAX(0,(A16-가정!$C$29+1)/가정!$C$30))</f>
        <v>0.14583333333333334</v>
      </c>
      <c r="F16" s="16">
        <f>IF(가정!$F$7&lt;30000,1,0)*IF(A16&gt;=가정!$C$29,1,0)</f>
        <v>1</v>
      </c>
      <c r="G16" s="17">
        <f>가정!$F$8*MIN(1,MAX(0,(A16-가정!$C$31+1)/가정!$C$32))</f>
        <v>0.75</v>
      </c>
      <c r="H16" s="18">
        <f>가정!$C$37+D16*가정!$C$14+E16*가정!$C$18</f>
        <v>-4.3750000000000004E-3</v>
      </c>
      <c r="I16" s="17">
        <f t="shared" si="5"/>
        <v>18.882984822746657</v>
      </c>
      <c r="J16" s="17">
        <f>I16*(1+G16*가정!$C$19)</f>
        <v>22.848411635523455</v>
      </c>
      <c r="K16" s="17">
        <f>I16*가정!$C$36*(1+G16*가정!$C$19*가정!$C$24)</f>
        <v>11.424205817761727</v>
      </c>
      <c r="L16" s="18">
        <f>가정!$C$38+D16*가정!$C$12+E16*가정!$C$17</f>
        <v>0.11708333333333333</v>
      </c>
      <c r="M16" s="18">
        <f>가정!$C$38+가정!$C$23*(L16-가정!$C$38)</f>
        <v>0.11708333333333333</v>
      </c>
      <c r="N16" s="19">
        <f t="shared" si="6"/>
        <v>124.86217974866047</v>
      </c>
      <c r="O16" s="20">
        <f>K16+가정!$C$33*M16+N16*L16</f>
        <v>73.579319363334051</v>
      </c>
      <c r="P16" s="21">
        <f>가정!$C$39*(1+D16*가정!$C$13)</f>
        <v>1.3319666666666667</v>
      </c>
      <c r="Q16" s="21">
        <f>1+F16*가정!$C$15</f>
        <v>1.0860000000000001</v>
      </c>
      <c r="R16" s="21">
        <f t="shared" si="0"/>
        <v>1.4465158000000002</v>
      </c>
      <c r="S16" s="20">
        <f t="shared" si="1"/>
        <v>106.43364801230867</v>
      </c>
      <c r="T16" s="19">
        <f>IF(F16=1,가정!$C$16,가정!$C$40)</f>
        <v>29800</v>
      </c>
      <c r="U16" s="20">
        <f t="shared" si="2"/>
        <v>317.17227107667986</v>
      </c>
      <c r="V16" s="20">
        <f>U16/(1-가정!$C$41)*가정!$C$42</f>
        <v>333.86554850176827</v>
      </c>
      <c r="W16" s="19">
        <f>가정!$C$33+N16+K16</f>
        <v>542.28638556642215</v>
      </c>
      <c r="X16" s="19">
        <f t="shared" si="7"/>
        <v>752.28638556642215</v>
      </c>
      <c r="Y16" s="19">
        <f t="shared" si="3"/>
        <v>1294.5727711328443</v>
      </c>
      <c r="Z16" s="20">
        <f t="shared" si="4"/>
        <v>98.005200747982187</v>
      </c>
    </row>
    <row r="17" spans="1:26" x14ac:dyDescent="0.3">
      <c r="A17" s="16">
        <v>14</v>
      </c>
      <c r="B17" s="16">
        <v>2028</v>
      </c>
      <c r="C17" s="16">
        <v>2</v>
      </c>
      <c r="D17" s="17">
        <f>가정!$F$6*MIN(1,MAX(0,(A17-가정!$C$28+1)/가정!$C$30))</f>
        <v>0.1875</v>
      </c>
      <c r="E17" s="17">
        <f>IF(가정!$F$7&lt;30000,1,0)*MIN(1,MAX(0,(A17-가정!$C$29+1)/가정!$C$30))</f>
        <v>0.16666666666666666</v>
      </c>
      <c r="F17" s="16">
        <f>IF(가정!$F$7&lt;30000,1,0)*IF(A17&gt;=가정!$C$29,1,0)</f>
        <v>1</v>
      </c>
      <c r="G17" s="17">
        <f>가정!$F$8*MIN(1,MAX(0,(A17-가정!$C$31+1)/가정!$C$32))</f>
        <v>0.83333333333333337</v>
      </c>
      <c r="H17" s="18">
        <f>가정!$C$37+D17*가정!$C$14+E17*가정!$C$18</f>
        <v>-4.2916666666666667E-3</v>
      </c>
      <c r="I17" s="17">
        <f t="shared" si="5"/>
        <v>18.801945346215703</v>
      </c>
      <c r="J17" s="17">
        <f>I17*(1+G17*가정!$C$19)</f>
        <v>23.189065926999369</v>
      </c>
      <c r="K17" s="17">
        <f>I17*가정!$C$36*(1+G17*가정!$C$19*가정!$C$24)</f>
        <v>11.594532963499685</v>
      </c>
      <c r="L17" s="18">
        <f>가정!$C$38+D17*가정!$C$12+E17*가정!$C$17</f>
        <v>0.11789583333333332</v>
      </c>
      <c r="M17" s="18">
        <f>가정!$C$38+가정!$C$23*(L17-가정!$C$38)</f>
        <v>0.11789583333333332</v>
      </c>
      <c r="N17" s="19">
        <f t="shared" si="6"/>
        <v>136.28638556642218</v>
      </c>
      <c r="O17" s="20">
        <f>K17+가정!$C$33*M17+N17*L17</f>
        <v>75.527838295174334</v>
      </c>
      <c r="P17" s="21">
        <f>가정!$C$39*(1+D17*가정!$C$13)</f>
        <v>1.3373375000000001</v>
      </c>
      <c r="Q17" s="21">
        <f>1+F17*가정!$C$15</f>
        <v>1.0860000000000001</v>
      </c>
      <c r="R17" s="21">
        <f t="shared" si="0"/>
        <v>1.4523485250000001</v>
      </c>
      <c r="S17" s="20">
        <f t="shared" si="1"/>
        <v>109.69274454443497</v>
      </c>
      <c r="T17" s="19">
        <f>IF(F17=1,가정!$C$16,가정!$C$40)</f>
        <v>29800</v>
      </c>
      <c r="U17" s="20">
        <f t="shared" si="2"/>
        <v>326.88437874241617</v>
      </c>
      <c r="V17" s="20">
        <f>U17/(1-가정!$C$41)*가정!$C$42</f>
        <v>344.08881972885916</v>
      </c>
      <c r="W17" s="19">
        <f>가정!$C$33+N17+K17</f>
        <v>553.88091852992181</v>
      </c>
      <c r="X17" s="19">
        <f t="shared" si="7"/>
        <v>763.88091852992181</v>
      </c>
      <c r="Y17" s="19">
        <f t="shared" si="3"/>
        <v>1317.7618370598436</v>
      </c>
      <c r="Z17" s="20">
        <f t="shared" si="4"/>
        <v>101.00621044607271</v>
      </c>
    </row>
    <row r="18" spans="1:26" x14ac:dyDescent="0.3">
      <c r="A18" s="16">
        <v>15</v>
      </c>
      <c r="B18" s="16">
        <v>2028</v>
      </c>
      <c r="C18" s="16">
        <v>3</v>
      </c>
      <c r="D18" s="17">
        <f>가정!$F$6*MIN(1,MAX(0,(A18-가정!$C$28+1)/가정!$C$30))</f>
        <v>0.20833333333333334</v>
      </c>
      <c r="E18" s="17">
        <f>IF(가정!$F$7&lt;30000,1,0)*MIN(1,MAX(0,(A18-가정!$C$29+1)/가정!$C$30))</f>
        <v>0.1875</v>
      </c>
      <c r="F18" s="16">
        <f>IF(가정!$F$7&lt;30000,1,0)*IF(A18&gt;=가정!$C$29,1,0)</f>
        <v>1</v>
      </c>
      <c r="G18" s="17">
        <f>가정!$F$8*MIN(1,MAX(0,(A18-가정!$C$31+1)/가정!$C$32))</f>
        <v>0.91666666666666663</v>
      </c>
      <c r="H18" s="18">
        <f>가정!$C$37+D18*가정!$C$14+E18*가정!$C$18</f>
        <v>-4.208333333333333E-3</v>
      </c>
      <c r="I18" s="17">
        <f t="shared" si="5"/>
        <v>18.722820492883713</v>
      </c>
      <c r="J18" s="17">
        <f>I18*(1+G18*가정!$C$19)</f>
        <v>23.528344419390532</v>
      </c>
      <c r="K18" s="17">
        <f>I18*가정!$C$36*(1+G18*가정!$C$19*가정!$C$24)</f>
        <v>11.764172209695266</v>
      </c>
      <c r="L18" s="18">
        <f>가정!$C$38+D18*가정!$C$12+E18*가정!$C$17</f>
        <v>0.11870833333333333</v>
      </c>
      <c r="M18" s="18">
        <f>가정!$C$38+가정!$C$23*(L18-가정!$C$38)</f>
        <v>0.11870833333333333</v>
      </c>
      <c r="N18" s="19">
        <f t="shared" si="6"/>
        <v>147.88091852992187</v>
      </c>
      <c r="O18" s="20">
        <f>K18+가정!$C$33*M18+N18*L18</f>
        <v>77.51445291351807</v>
      </c>
      <c r="P18" s="21">
        <f>가정!$C$39*(1+D18*가정!$C$13)</f>
        <v>1.3427083333333334</v>
      </c>
      <c r="Q18" s="21">
        <f>1+F18*가정!$C$15</f>
        <v>1.0860000000000001</v>
      </c>
      <c r="R18" s="21">
        <f t="shared" si="0"/>
        <v>1.4581812500000002</v>
      </c>
      <c r="S18" s="20">
        <f t="shared" si="1"/>
        <v>113.03012184249994</v>
      </c>
      <c r="T18" s="19">
        <f>IF(F18=1,가정!$C$16,가정!$C$40)</f>
        <v>29800</v>
      </c>
      <c r="U18" s="20">
        <f t="shared" si="2"/>
        <v>336.82976309064981</v>
      </c>
      <c r="V18" s="20">
        <f>U18/(1-가정!$C$41)*가정!$C$42</f>
        <v>354.55764535857878</v>
      </c>
      <c r="W18" s="19">
        <f>가정!$C$33+N18+K18</f>
        <v>565.64509073961722</v>
      </c>
      <c r="X18" s="19">
        <f t="shared" si="7"/>
        <v>775.6450907396171</v>
      </c>
      <c r="Y18" s="19">
        <f t="shared" si="3"/>
        <v>1341.2901814792344</v>
      </c>
      <c r="Z18" s="20">
        <f t="shared" si="4"/>
        <v>104.079301880755</v>
      </c>
    </row>
    <row r="19" spans="1:26" x14ac:dyDescent="0.3">
      <c r="A19" s="16">
        <v>16</v>
      </c>
      <c r="B19" s="16">
        <v>2028</v>
      </c>
      <c r="C19" s="16">
        <v>4</v>
      </c>
      <c r="D19" s="17">
        <f>가정!$F$6*MIN(1,MAX(0,(A19-가정!$C$28+1)/가정!$C$30))</f>
        <v>0.22916666666666666</v>
      </c>
      <c r="E19" s="17">
        <f>IF(가정!$F$7&lt;30000,1,0)*MIN(1,MAX(0,(A19-가정!$C$29+1)/가정!$C$30))</f>
        <v>0.20833333333333334</v>
      </c>
      <c r="F19" s="16">
        <f>IF(가정!$F$7&lt;30000,1,0)*IF(A19&gt;=가정!$C$29,1,0)</f>
        <v>1</v>
      </c>
      <c r="G19" s="17">
        <f>가정!$F$8*MIN(1,MAX(0,(A19-가정!$C$31+1)/가정!$C$32))</f>
        <v>1</v>
      </c>
      <c r="H19" s="18">
        <f>가정!$C$37+D19*가정!$C$14+E19*가정!$C$18</f>
        <v>-4.1250000000000002E-3</v>
      </c>
      <c r="I19" s="17">
        <f t="shared" si="5"/>
        <v>18.645588858350568</v>
      </c>
      <c r="J19" s="17">
        <f>I19*(1+G19*가정!$C$19)</f>
        <v>23.866353738688726</v>
      </c>
      <c r="K19" s="17">
        <f>I19*가정!$C$36*(1+G19*가정!$C$19*가정!$C$24)</f>
        <v>11.933176869344363</v>
      </c>
      <c r="L19" s="18">
        <f>가정!$C$38+D19*가정!$C$12+E19*가정!$C$17</f>
        <v>0.11952083333333334</v>
      </c>
      <c r="M19" s="18">
        <f>가정!$C$38+가정!$C$23*(L19-가정!$C$38)</f>
        <v>0.11952083333333334</v>
      </c>
      <c r="N19" s="19">
        <f t="shared" si="6"/>
        <v>159.64509073961713</v>
      </c>
      <c r="O19" s="20">
        <f>K19+가정!$C$33*M19+N19*L19</f>
        <v>79.539549485452355</v>
      </c>
      <c r="P19" s="21">
        <f>가정!$C$39*(1+D19*가정!$C$13)</f>
        <v>1.3480791666666667</v>
      </c>
      <c r="Q19" s="21">
        <f>1+F19*가정!$C$15</f>
        <v>1.0860000000000001</v>
      </c>
      <c r="R19" s="21">
        <f t="shared" si="0"/>
        <v>1.4640139750000001</v>
      </c>
      <c r="S19" s="20">
        <f t="shared" si="1"/>
        <v>116.44701201190631</v>
      </c>
      <c r="T19" s="19">
        <f>IF(F19=1,가정!$C$16,가정!$C$40)</f>
        <v>29800</v>
      </c>
      <c r="U19" s="20">
        <f t="shared" si="2"/>
        <v>347.01209579548083</v>
      </c>
      <c r="V19" s="20">
        <f>U19/(1-가정!$C$41)*가정!$C$42</f>
        <v>365.27589031103247</v>
      </c>
      <c r="W19" s="19">
        <f>가정!$C$33+N19+K19</f>
        <v>577.57826760896148</v>
      </c>
      <c r="X19" s="19">
        <f t="shared" si="7"/>
        <v>787.57826760896148</v>
      </c>
      <c r="Y19" s="19">
        <f t="shared" si="3"/>
        <v>1365.156535217923</v>
      </c>
      <c r="Z19" s="20">
        <f t="shared" si="4"/>
        <v>107.22560958739071</v>
      </c>
    </row>
    <row r="20" spans="1:26" x14ac:dyDescent="0.3">
      <c r="A20" s="16">
        <v>17</v>
      </c>
      <c r="B20" s="16">
        <v>2028</v>
      </c>
      <c r="C20" s="16">
        <v>5</v>
      </c>
      <c r="D20" s="17">
        <f>가정!$F$6*MIN(1,MAX(0,(A20-가정!$C$28+1)/가정!$C$30))</f>
        <v>0.25</v>
      </c>
      <c r="E20" s="17">
        <f>IF(가정!$F$7&lt;30000,1,0)*MIN(1,MAX(0,(A20-가정!$C$29+1)/가정!$C$30))</f>
        <v>0.22916666666666666</v>
      </c>
      <c r="F20" s="16">
        <f>IF(가정!$F$7&lt;30000,1,0)*IF(A20&gt;=가정!$C$29,1,0)</f>
        <v>1</v>
      </c>
      <c r="G20" s="17">
        <f>가정!$F$8*MIN(1,MAX(0,(A20-가정!$C$31+1)/가정!$C$32))</f>
        <v>1</v>
      </c>
      <c r="H20" s="18">
        <f>가정!$C$37+D20*가정!$C$14+E20*가정!$C$18</f>
        <v>-4.0416666666666674E-3</v>
      </c>
      <c r="I20" s="17">
        <f t="shared" si="5"/>
        <v>18.570229603381399</v>
      </c>
      <c r="J20" s="17">
        <f>I20*(1+G20*가정!$C$19)</f>
        <v>23.769893892328191</v>
      </c>
      <c r="K20" s="17">
        <f>I20*가정!$C$36*(1+G20*가정!$C$19*가정!$C$24)</f>
        <v>11.884946946164096</v>
      </c>
      <c r="L20" s="18">
        <f>가정!$C$38+D20*가정!$C$12+E20*가정!$C$17</f>
        <v>0.12033333333333333</v>
      </c>
      <c r="M20" s="18">
        <f>가정!$C$38+가정!$C$23*(L20-가정!$C$38)</f>
        <v>0.12033333333333333</v>
      </c>
      <c r="N20" s="19">
        <f t="shared" si="6"/>
        <v>171.57826760896148</v>
      </c>
      <c r="O20" s="20">
        <f>K20+가정!$C$33*M20+N20*L20</f>
        <v>81.386865148442453</v>
      </c>
      <c r="P20" s="21">
        <f>가정!$C$39*(1+D20*가정!$C$13)</f>
        <v>1.35345</v>
      </c>
      <c r="Q20" s="21">
        <f>1+F20*가정!$C$15</f>
        <v>1.0860000000000001</v>
      </c>
      <c r="R20" s="21">
        <f t="shared" si="0"/>
        <v>1.4698467000000002</v>
      </c>
      <c r="S20" s="20">
        <f t="shared" si="1"/>
        <v>119.62621516178316</v>
      </c>
      <c r="T20" s="19">
        <f>IF(F20=1,가정!$C$16,가정!$C$40)</f>
        <v>29800</v>
      </c>
      <c r="U20" s="20">
        <f t="shared" si="2"/>
        <v>356.48612118211383</v>
      </c>
      <c r="V20" s="20">
        <f>U20/(1-가정!$C$41)*가정!$C$42</f>
        <v>375.24854861275145</v>
      </c>
      <c r="W20" s="19">
        <f>가정!$C$33+N20+K20</f>
        <v>589.46321455512555</v>
      </c>
      <c r="X20" s="19">
        <f t="shared" si="7"/>
        <v>799.46321455512566</v>
      </c>
      <c r="Y20" s="19">
        <f t="shared" si="3"/>
        <v>1388.9264291102513</v>
      </c>
      <c r="Z20" s="20">
        <f t="shared" si="4"/>
        <v>110.15305263515944</v>
      </c>
    </row>
    <row r="21" spans="1:26" x14ac:dyDescent="0.3">
      <c r="A21" s="16">
        <v>18</v>
      </c>
      <c r="B21" s="16">
        <v>2028</v>
      </c>
      <c r="C21" s="16">
        <v>6</v>
      </c>
      <c r="D21" s="17">
        <f>가정!$F$6*MIN(1,MAX(0,(A21-가정!$C$28+1)/가정!$C$30))</f>
        <v>0.27083333333333331</v>
      </c>
      <c r="E21" s="17">
        <f>IF(가정!$F$7&lt;30000,1,0)*MIN(1,MAX(0,(A21-가정!$C$29+1)/가정!$C$30))</f>
        <v>0.25</v>
      </c>
      <c r="F21" s="16">
        <f>IF(가정!$F$7&lt;30000,1,0)*IF(A21&gt;=가정!$C$29,1,0)</f>
        <v>1</v>
      </c>
      <c r="G21" s="17">
        <f>가정!$F$8*MIN(1,MAX(0,(A21-가정!$C$31+1)/가정!$C$32))</f>
        <v>1</v>
      </c>
      <c r="H21" s="18">
        <f>가정!$C$37+D21*가정!$C$14+E21*가정!$C$18</f>
        <v>-3.9583333333333328E-3</v>
      </c>
      <c r="I21" s="17">
        <f t="shared" si="5"/>
        <v>18.496722444534683</v>
      </c>
      <c r="J21" s="17">
        <f>I21*(1+G21*가정!$C$19)</f>
        <v>23.675804729004394</v>
      </c>
      <c r="K21" s="17">
        <f>I21*가정!$C$36*(1+G21*가정!$C$19*가정!$C$24)</f>
        <v>11.837902364502197</v>
      </c>
      <c r="L21" s="18">
        <f>가정!$C$38+D21*가정!$C$12+E21*가정!$C$17</f>
        <v>0.12114583333333334</v>
      </c>
      <c r="M21" s="18">
        <f>가정!$C$38+가정!$C$23*(L21-가정!$C$38)</f>
        <v>0.12114583333333334</v>
      </c>
      <c r="N21" s="19">
        <f t="shared" si="6"/>
        <v>183.46321455512557</v>
      </c>
      <c r="O21" s="20">
        <f>K21+가정!$C$33*M21+N21*L21</f>
        <v>83.24891471112835</v>
      </c>
      <c r="P21" s="21">
        <f>가정!$C$39*(1+D21*가정!$C$13)</f>
        <v>1.3588208333333334</v>
      </c>
      <c r="Q21" s="21">
        <f>1+F21*가정!$C$15</f>
        <v>1.0860000000000001</v>
      </c>
      <c r="R21" s="21">
        <f t="shared" si="0"/>
        <v>1.475679425</v>
      </c>
      <c r="S21" s="20">
        <f t="shared" si="1"/>
        <v>122.84871059279193</v>
      </c>
      <c r="T21" s="19">
        <f>IF(F21=1,가정!$C$16,가정!$C$40)</f>
        <v>29800</v>
      </c>
      <c r="U21" s="20">
        <f t="shared" si="2"/>
        <v>366.08915756651999</v>
      </c>
      <c r="V21" s="20">
        <f>U21/(1-가정!$C$41)*가정!$C$42</f>
        <v>385.35700796475788</v>
      </c>
      <c r="W21" s="19">
        <f>가정!$C$33+N21+K21</f>
        <v>601.3011169196277</v>
      </c>
      <c r="X21" s="19">
        <f t="shared" si="7"/>
        <v>811.30111691962793</v>
      </c>
      <c r="Y21" s="19">
        <f t="shared" si="3"/>
        <v>1412.6022338392556</v>
      </c>
      <c r="Z21" s="20">
        <f t="shared" si="4"/>
        <v>113.12035966187102</v>
      </c>
    </row>
    <row r="22" spans="1:26" x14ac:dyDescent="0.3">
      <c r="A22" s="16">
        <v>19</v>
      </c>
      <c r="B22" s="16">
        <v>2028</v>
      </c>
      <c r="C22" s="16">
        <v>7</v>
      </c>
      <c r="D22" s="17">
        <f>가정!$F$6*MIN(1,MAX(0,(A22-가정!$C$28+1)/가정!$C$30))</f>
        <v>0.29166666666666669</v>
      </c>
      <c r="E22" s="17">
        <f>IF(가정!$F$7&lt;30000,1,0)*MIN(1,MAX(0,(A22-가정!$C$29+1)/가정!$C$30))</f>
        <v>0.27083333333333331</v>
      </c>
      <c r="F22" s="16">
        <f>IF(가정!$F$7&lt;30000,1,0)*IF(A22&gt;=가정!$C$29,1,0)</f>
        <v>1</v>
      </c>
      <c r="G22" s="17">
        <f>가정!$F$8*MIN(1,MAX(0,(A22-가정!$C$31+1)/가정!$C$32))</f>
        <v>1</v>
      </c>
      <c r="H22" s="18">
        <f>가정!$C$37+D22*가정!$C$14+E22*가정!$C$18</f>
        <v>-3.875E-3</v>
      </c>
      <c r="I22" s="17">
        <f t="shared" si="5"/>
        <v>18.425047645062111</v>
      </c>
      <c r="J22" s="17">
        <f>I22*(1+G22*가정!$C$19)</f>
        <v>23.584060985679503</v>
      </c>
      <c r="K22" s="17">
        <f>I22*가정!$C$36*(1+G22*가정!$C$19*가정!$C$24)</f>
        <v>11.792030492839752</v>
      </c>
      <c r="L22" s="18">
        <f>가정!$C$38+D22*가정!$C$12+E22*가정!$C$17</f>
        <v>0.12195833333333334</v>
      </c>
      <c r="M22" s="18">
        <f>가정!$C$38+가정!$C$23*(L22-가정!$C$38)</f>
        <v>0.12195833333333334</v>
      </c>
      <c r="N22" s="19">
        <f t="shared" si="6"/>
        <v>195.30111691962776</v>
      </c>
      <c r="O22" s="20">
        <f>K22+가정!$C$33*M22+N22*L22</f>
        <v>85.125712543829351</v>
      </c>
      <c r="P22" s="21">
        <f>가정!$C$39*(1+D22*가정!$C$13)</f>
        <v>1.3641916666666667</v>
      </c>
      <c r="Q22" s="21">
        <f>1+F22*가정!$C$15</f>
        <v>1.0860000000000001</v>
      </c>
      <c r="R22" s="21">
        <f t="shared" si="0"/>
        <v>1.4815121500000001</v>
      </c>
      <c r="S22" s="20">
        <f t="shared" si="1"/>
        <v>126.1147774110906</v>
      </c>
      <c r="T22" s="19">
        <f>IF(F22=1,가정!$C$16,가정!$C$40)</f>
        <v>29800</v>
      </c>
      <c r="U22" s="20">
        <f t="shared" si="2"/>
        <v>375.82203668505002</v>
      </c>
      <c r="V22" s="20">
        <f>U22/(1-가정!$C$41)*가정!$C$42</f>
        <v>395.60214387900004</v>
      </c>
      <c r="W22" s="19">
        <f>가정!$C$33+N22+K22</f>
        <v>613.09314741246749</v>
      </c>
      <c r="X22" s="19">
        <f t="shared" si="7"/>
        <v>823.0931474124676</v>
      </c>
      <c r="Y22" s="19">
        <f t="shared" si="3"/>
        <v>1436.186294824935</v>
      </c>
      <c r="Z22" s="20">
        <f t="shared" si="4"/>
        <v>116.12778767135414</v>
      </c>
    </row>
    <row r="23" spans="1:26" x14ac:dyDescent="0.3">
      <c r="A23" s="16">
        <v>20</v>
      </c>
      <c r="B23" s="16">
        <v>2028</v>
      </c>
      <c r="C23" s="16">
        <v>8</v>
      </c>
      <c r="D23" s="17">
        <f>가정!$F$6*MIN(1,MAX(0,(A23-가정!$C$28+1)/가정!$C$30))</f>
        <v>0.3125</v>
      </c>
      <c r="E23" s="17">
        <f>IF(가정!$F$7&lt;30000,1,0)*MIN(1,MAX(0,(A23-가정!$C$29+1)/가정!$C$30))</f>
        <v>0.29166666666666669</v>
      </c>
      <c r="F23" s="16">
        <f>IF(가정!$F$7&lt;30000,1,0)*IF(A23&gt;=가정!$C$29,1,0)</f>
        <v>1</v>
      </c>
      <c r="G23" s="17">
        <f>가정!$F$8*MIN(1,MAX(0,(A23-가정!$C$31+1)/가정!$C$32))</f>
        <v>1</v>
      </c>
      <c r="H23" s="18">
        <f>가정!$C$37+D23*가정!$C$14+E23*가정!$C$18</f>
        <v>-3.7916666666666671E-3</v>
      </c>
      <c r="I23" s="17">
        <f t="shared" si="5"/>
        <v>18.355186006074586</v>
      </c>
      <c r="J23" s="17">
        <f>I23*(1+G23*가정!$C$19)</f>
        <v>23.494638087775471</v>
      </c>
      <c r="K23" s="17">
        <f>I23*가정!$C$36*(1+G23*가정!$C$19*가정!$C$24)</f>
        <v>11.747319043887735</v>
      </c>
      <c r="L23" s="18">
        <f>가정!$C$38+D23*가정!$C$12+E23*가정!$C$17</f>
        <v>0.12277083333333333</v>
      </c>
      <c r="M23" s="18">
        <f>가정!$C$38+가정!$C$23*(L23-가정!$C$38)</f>
        <v>0.12277083333333333</v>
      </c>
      <c r="N23" s="19">
        <f t="shared" si="6"/>
        <v>207.09314741246752</v>
      </c>
      <c r="O23" s="20">
        <f>K23+가정!$C$33*M23+N23*L23</f>
        <v>87.017275662672546</v>
      </c>
      <c r="P23" s="21">
        <f>가정!$C$39*(1+D23*가정!$C$13)</f>
        <v>1.3695625</v>
      </c>
      <c r="Q23" s="21">
        <f>1+F23*가정!$C$15</f>
        <v>1.0860000000000001</v>
      </c>
      <c r="R23" s="21">
        <f t="shared" si="0"/>
        <v>1.4873448750000002</v>
      </c>
      <c r="S23" s="20">
        <f t="shared" si="1"/>
        <v>129.42469899333827</v>
      </c>
      <c r="T23" s="19">
        <f>IF(F23=1,가정!$C$16,가정!$C$40)</f>
        <v>29800</v>
      </c>
      <c r="U23" s="20">
        <f t="shared" si="2"/>
        <v>385.68560300014803</v>
      </c>
      <c r="V23" s="20">
        <f>U23/(1-가정!$C$41)*가정!$C$42</f>
        <v>405.98484526331373</v>
      </c>
      <c r="W23" s="19">
        <f>가정!$C$33+N23+K23</f>
        <v>624.84046645635522</v>
      </c>
      <c r="X23" s="19">
        <f t="shared" si="7"/>
        <v>834.84046645635533</v>
      </c>
      <c r="Y23" s="19">
        <f t="shared" si="3"/>
        <v>1459.6809329127104</v>
      </c>
      <c r="Z23" s="20">
        <f t="shared" si="4"/>
        <v>119.17559759975897</v>
      </c>
    </row>
    <row r="24" spans="1:26" x14ac:dyDescent="0.3">
      <c r="A24" s="16">
        <v>21</v>
      </c>
      <c r="B24" s="16">
        <v>2028</v>
      </c>
      <c r="C24" s="16">
        <v>9</v>
      </c>
      <c r="D24" s="17">
        <f>가정!$F$6*MIN(1,MAX(0,(A24-가정!$C$28+1)/가정!$C$30))</f>
        <v>0.33333333333333331</v>
      </c>
      <c r="E24" s="17">
        <f>IF(가정!$F$7&lt;30000,1,0)*MIN(1,MAX(0,(A24-가정!$C$29+1)/가정!$C$30))</f>
        <v>0.3125</v>
      </c>
      <c r="F24" s="16">
        <f>IF(가정!$F$7&lt;30000,1,0)*IF(A24&gt;=가정!$C$29,1,0)</f>
        <v>1</v>
      </c>
      <c r="G24" s="17">
        <f>가정!$F$8*MIN(1,MAX(0,(A24-가정!$C$31+1)/가정!$C$32))</f>
        <v>1</v>
      </c>
      <c r="H24" s="18">
        <f>가정!$C$37+D24*가정!$C$14+E24*가정!$C$18</f>
        <v>-3.708333333333333E-3</v>
      </c>
      <c r="I24" s="17">
        <f t="shared" si="5"/>
        <v>18.287118857968725</v>
      </c>
      <c r="J24" s="17">
        <f>I24*(1+G24*가정!$C$19)</f>
        <v>23.407512138199969</v>
      </c>
      <c r="K24" s="17">
        <f>I24*가정!$C$36*(1+G24*가정!$C$19*가정!$C$24)</f>
        <v>11.703756069099985</v>
      </c>
      <c r="L24" s="18">
        <f>가정!$C$38+D24*가정!$C$12+E24*가정!$C$17</f>
        <v>0.12358333333333334</v>
      </c>
      <c r="M24" s="18">
        <f>가정!$C$38+가정!$C$23*(L24-가정!$C$38)</f>
        <v>0.12358333333333334</v>
      </c>
      <c r="N24" s="19">
        <f t="shared" si="6"/>
        <v>218.84046645635524</v>
      </c>
      <c r="O24" s="20">
        <f>K24+가정!$C$33*M24+N24*L24</f>
        <v>88.923623715331217</v>
      </c>
      <c r="P24" s="21">
        <f>가정!$C$39*(1+D24*가정!$C$13)</f>
        <v>1.3749333333333333</v>
      </c>
      <c r="Q24" s="21">
        <f>1+F24*가정!$C$15</f>
        <v>1.0860000000000001</v>
      </c>
      <c r="R24" s="21">
        <f t="shared" si="0"/>
        <v>1.4931776000000001</v>
      </c>
      <c r="S24" s="20">
        <f t="shared" si="1"/>
        <v>132.77876304256137</v>
      </c>
      <c r="T24" s="19">
        <f>IF(F24=1,가정!$C$16,가정!$C$40)</f>
        <v>29800</v>
      </c>
      <c r="U24" s="20">
        <f t="shared" si="2"/>
        <v>395.68071386683283</v>
      </c>
      <c r="V24" s="20">
        <f>U24/(1-가정!$C$41)*가정!$C$42</f>
        <v>416.50601459666615</v>
      </c>
      <c r="W24" s="19">
        <f>가정!$C$33+N24+K24</f>
        <v>636.54422252545521</v>
      </c>
      <c r="X24" s="19">
        <f t="shared" si="7"/>
        <v>846.54422252545533</v>
      </c>
      <c r="Y24" s="19">
        <f t="shared" si="3"/>
        <v>1483.0884450509107</v>
      </c>
      <c r="Z24" s="20">
        <f t="shared" si="4"/>
        <v>122.2640543669994</v>
      </c>
    </row>
    <row r="25" spans="1:26" x14ac:dyDescent="0.3">
      <c r="A25" s="16">
        <v>22</v>
      </c>
      <c r="B25" s="16">
        <v>2028</v>
      </c>
      <c r="C25" s="16">
        <v>10</v>
      </c>
      <c r="D25" s="17">
        <f>가정!$F$6*MIN(1,MAX(0,(A25-가정!$C$28+1)/가정!$C$30))</f>
        <v>0.35416666666666669</v>
      </c>
      <c r="E25" s="17">
        <f>IF(가정!$F$7&lt;30000,1,0)*MIN(1,MAX(0,(A25-가정!$C$29+1)/가정!$C$30))</f>
        <v>0.33333333333333331</v>
      </c>
      <c r="F25" s="16">
        <f>IF(가정!$F$7&lt;30000,1,0)*IF(A25&gt;=가정!$C$29,1,0)</f>
        <v>1</v>
      </c>
      <c r="G25" s="17">
        <f>가정!$F$8*MIN(1,MAX(0,(A25-가정!$C$31+1)/가정!$C$32))</f>
        <v>1</v>
      </c>
      <c r="H25" s="18">
        <f>가정!$C$37+D25*가정!$C$14+E25*가정!$C$18</f>
        <v>-3.6250000000000002E-3</v>
      </c>
      <c r="I25" s="17">
        <f t="shared" si="5"/>
        <v>18.220828052108587</v>
      </c>
      <c r="J25" s="17">
        <f>I25*(1+G25*가정!$C$19)</f>
        <v>23.322659906698991</v>
      </c>
      <c r="K25" s="17">
        <f>I25*가정!$C$36*(1+G25*가정!$C$19*가정!$C$24)</f>
        <v>11.661329953349496</v>
      </c>
      <c r="L25" s="18">
        <f>가정!$C$38+D25*가정!$C$12+E25*가정!$C$17</f>
        <v>0.12439583333333333</v>
      </c>
      <c r="M25" s="18">
        <f>가정!$C$38+가정!$C$23*(L25-가정!$C$38)</f>
        <v>0.12439583333333333</v>
      </c>
      <c r="N25" s="19">
        <f t="shared" si="6"/>
        <v>230.54422252545524</v>
      </c>
      <c r="O25" s="20">
        <f>K25+가정!$C$33*M25+N25*L25</f>
        <v>90.844778967922267</v>
      </c>
      <c r="P25" s="21">
        <f>가정!$C$39*(1+D25*가정!$C$13)</f>
        <v>1.3803041666666664</v>
      </c>
      <c r="Q25" s="21">
        <f>1+F25*가정!$C$15</f>
        <v>1.0860000000000001</v>
      </c>
      <c r="R25" s="21">
        <f t="shared" si="0"/>
        <v>1.4990103249999998</v>
      </c>
      <c r="S25" s="20">
        <f t="shared" si="1"/>
        <v>136.17726164525831</v>
      </c>
      <c r="T25" s="19">
        <f>IF(F25=1,가정!$C$16,가정!$C$40)</f>
        <v>29800</v>
      </c>
      <c r="U25" s="20">
        <f t="shared" si="2"/>
        <v>405.80823970286974</v>
      </c>
      <c r="V25" s="20">
        <f>U25/(1-가정!$C$41)*가정!$C$42</f>
        <v>427.16656810828397</v>
      </c>
      <c r="W25" s="19">
        <f>가정!$C$33+N25+K25</f>
        <v>648.20555247880475</v>
      </c>
      <c r="X25" s="19">
        <f t="shared" si="7"/>
        <v>858.20555247880475</v>
      </c>
      <c r="Y25" s="19">
        <f t="shared" si="3"/>
        <v>1506.4111049576095</v>
      </c>
      <c r="Z25" s="20">
        <f t="shared" si="4"/>
        <v>125.39342692933545</v>
      </c>
    </row>
    <row r="26" spans="1:26" x14ac:dyDescent="0.3">
      <c r="A26" s="16">
        <v>23</v>
      </c>
      <c r="B26" s="16">
        <v>2028</v>
      </c>
      <c r="C26" s="16">
        <v>11</v>
      </c>
      <c r="D26" s="17">
        <f>가정!$F$6*MIN(1,MAX(0,(A26-가정!$C$28+1)/가정!$C$30))</f>
        <v>0.375</v>
      </c>
      <c r="E26" s="17">
        <f>IF(가정!$F$7&lt;30000,1,0)*MIN(1,MAX(0,(A26-가정!$C$29+1)/가정!$C$30))</f>
        <v>0.35416666666666669</v>
      </c>
      <c r="F26" s="16">
        <f>IF(가정!$F$7&lt;30000,1,0)*IF(A26&gt;=가정!$C$29,1,0)</f>
        <v>1</v>
      </c>
      <c r="G26" s="17">
        <f>가정!$F$8*MIN(1,MAX(0,(A26-가정!$C$31+1)/가정!$C$32))</f>
        <v>1</v>
      </c>
      <c r="H26" s="18">
        <f>가정!$C$37+D26*가정!$C$14+E26*가정!$C$18</f>
        <v>-3.5416666666666669E-3</v>
      </c>
      <c r="I26" s="17">
        <f t="shared" si="5"/>
        <v>18.156295952757368</v>
      </c>
      <c r="J26" s="17">
        <f>I26*(1+G26*가정!$C$19)</f>
        <v>23.24005881952943</v>
      </c>
      <c r="K26" s="17">
        <f>I26*가정!$C$36*(1+G26*가정!$C$19*가정!$C$24)</f>
        <v>11.620029409764715</v>
      </c>
      <c r="L26" s="18">
        <f>가정!$C$38+D26*가정!$C$12+E26*가정!$C$17</f>
        <v>0.12520833333333334</v>
      </c>
      <c r="M26" s="18">
        <f>가정!$C$38+가정!$C$23*(L26-가정!$C$38)</f>
        <v>0.12520833333333334</v>
      </c>
      <c r="N26" s="19">
        <f t="shared" si="6"/>
        <v>242.20555247880475</v>
      </c>
      <c r="O26" s="20">
        <f>K26+가정!$C$33*M26+N26*L26</f>
        <v>92.780766293048401</v>
      </c>
      <c r="P26" s="21">
        <f>가정!$C$39*(1+D26*가정!$C$13)</f>
        <v>1.3856749999999998</v>
      </c>
      <c r="Q26" s="21">
        <f>1+F26*가정!$C$15</f>
        <v>1.0860000000000001</v>
      </c>
      <c r="R26" s="21">
        <f t="shared" si="0"/>
        <v>1.5048430499999998</v>
      </c>
      <c r="S26" s="20">
        <f t="shared" si="1"/>
        <v>139.62049132976813</v>
      </c>
      <c r="T26" s="19">
        <f>IF(F26=1,가정!$C$16,가정!$C$40)</f>
        <v>29800</v>
      </c>
      <c r="U26" s="20">
        <f t="shared" si="2"/>
        <v>416.06906416270903</v>
      </c>
      <c r="V26" s="20">
        <f>U26/(1-가정!$C$41)*가정!$C$42</f>
        <v>437.96743596074634</v>
      </c>
      <c r="W26" s="19">
        <f>가정!$C$33+N26+K26</f>
        <v>659.82558188856945</v>
      </c>
      <c r="X26" s="19">
        <f t="shared" si="7"/>
        <v>869.82558188856945</v>
      </c>
      <c r="Y26" s="19">
        <f t="shared" si="3"/>
        <v>1529.6511637771389</v>
      </c>
      <c r="Z26" s="20">
        <f t="shared" si="4"/>
        <v>128.56398833311982</v>
      </c>
    </row>
    <row r="27" spans="1:26" x14ac:dyDescent="0.3">
      <c r="A27" s="22">
        <v>24</v>
      </c>
      <c r="B27" s="22">
        <v>2028</v>
      </c>
      <c r="C27" s="22">
        <v>12</v>
      </c>
      <c r="D27" s="23">
        <f>가정!$F$6*MIN(1,MAX(0,(A27-가정!$C$28+1)/가정!$C$30))</f>
        <v>0.39583333333333331</v>
      </c>
      <c r="E27" s="23">
        <f>IF(가정!$F$7&lt;30000,1,0)*MIN(1,MAX(0,(A27-가정!$C$29+1)/가정!$C$30))</f>
        <v>0.375</v>
      </c>
      <c r="F27" s="22">
        <f>IF(가정!$F$7&lt;30000,1,0)*IF(A27&gt;=가정!$C$29,1,0)</f>
        <v>1</v>
      </c>
      <c r="G27" s="23">
        <f>가정!$F$8*MIN(1,MAX(0,(A27-가정!$C$31+1)/가정!$C$32))</f>
        <v>1</v>
      </c>
      <c r="H27" s="24">
        <f>가정!$C$37+D27*가정!$C$14+E27*가정!$C$18</f>
        <v>-3.4583333333333332E-3</v>
      </c>
      <c r="I27" s="23">
        <f t="shared" si="5"/>
        <v>18.093505429254083</v>
      </c>
      <c r="J27" s="23">
        <f>I27*(1+G27*가정!$C$19)</f>
        <v>23.159686949445227</v>
      </c>
      <c r="K27" s="23">
        <f>I27*가정!$C$36*(1+G27*가정!$C$19*가정!$C$24)</f>
        <v>11.579843474722614</v>
      </c>
      <c r="L27" s="24">
        <f>가정!$C$38+D27*가정!$C$12+E27*가정!$C$17</f>
        <v>0.12602083333333333</v>
      </c>
      <c r="M27" s="24">
        <f>가정!$C$38+가정!$C$23*(L27-가정!$C$38)</f>
        <v>0.12602083333333333</v>
      </c>
      <c r="N27" s="25">
        <f t="shared" si="6"/>
        <v>253.82558188856947</v>
      </c>
      <c r="O27" s="26">
        <f>K27+가정!$C$33*M27+N27*L27</f>
        <v>94.731613158971712</v>
      </c>
      <c r="P27" s="27">
        <f>가정!$C$39*(1+D27*가정!$C$13)</f>
        <v>1.3910458333333331</v>
      </c>
      <c r="Q27" s="27">
        <f>1+F27*가정!$C$15</f>
        <v>1.0860000000000001</v>
      </c>
      <c r="R27" s="27">
        <f t="shared" si="0"/>
        <v>1.5106757749999999</v>
      </c>
      <c r="S27" s="26">
        <f t="shared" si="1"/>
        <v>143.10875312592978</v>
      </c>
      <c r="T27" s="25">
        <f>IF(F27=1,가정!$C$16,가정!$C$40)</f>
        <v>29800</v>
      </c>
      <c r="U27" s="26">
        <f t="shared" si="2"/>
        <v>426.46408431527072</v>
      </c>
      <c r="V27" s="26">
        <f>U27/(1-가정!$C$41)*가정!$C$42</f>
        <v>448.90956243712708</v>
      </c>
      <c r="W27" s="25">
        <f>가정!$C$33+N27+K27</f>
        <v>671.40542536329201</v>
      </c>
      <c r="X27" s="25">
        <f t="shared" si="7"/>
        <v>881.40542536329212</v>
      </c>
      <c r="Y27" s="25">
        <f t="shared" si="3"/>
        <v>1552.8108507265842</v>
      </c>
      <c r="Z27" s="26">
        <f t="shared" si="4"/>
        <v>131.77601576973274</v>
      </c>
    </row>
    <row r="28" spans="1:26" x14ac:dyDescent="0.3">
      <c r="A28" s="16">
        <v>25</v>
      </c>
      <c r="B28" s="16">
        <v>2029</v>
      </c>
      <c r="C28" s="16">
        <v>1</v>
      </c>
      <c r="D28" s="17">
        <f>가정!$F$6*MIN(1,MAX(0,(A28-가정!$C$28+1)/가정!$C$30))</f>
        <v>0.41666666666666669</v>
      </c>
      <c r="E28" s="17">
        <f>IF(가정!$F$7&lt;30000,1,0)*MIN(1,MAX(0,(A28-가정!$C$29+1)/가정!$C$30))</f>
        <v>0.39583333333333331</v>
      </c>
      <c r="F28" s="16">
        <f>IF(가정!$F$7&lt;30000,1,0)*IF(A28&gt;=가정!$C$29,1,0)</f>
        <v>1</v>
      </c>
      <c r="G28" s="17">
        <f>가정!$F$8*MIN(1,MAX(0,(A28-가정!$C$31+1)/가정!$C$32))</f>
        <v>1</v>
      </c>
      <c r="H28" s="18">
        <f>가정!$C$37+D28*가정!$C$14+E28*가정!$C$18</f>
        <v>-3.375E-3</v>
      </c>
      <c r="I28" s="17">
        <f t="shared" si="5"/>
        <v>18.03243984843035</v>
      </c>
      <c r="J28" s="17">
        <f>I28*(1+G28*가정!$C$19)</f>
        <v>23.081523005990849</v>
      </c>
      <c r="K28" s="17">
        <f>I28*가정!$C$36*(1+G28*가정!$C$19*가정!$C$24)</f>
        <v>11.540761502995425</v>
      </c>
      <c r="L28" s="18">
        <f>가정!$C$38+D28*가정!$C$12+E28*가정!$C$17</f>
        <v>0.12683333333333333</v>
      </c>
      <c r="M28" s="18">
        <f>가정!$C$38+가정!$C$23*(L28-가정!$C$38)</f>
        <v>0.12683333333333333</v>
      </c>
      <c r="N28" s="19">
        <f t="shared" si="6"/>
        <v>265.40542536329207</v>
      </c>
      <c r="O28" s="20">
        <f>K28+가정!$C$33*M28+N28*L28</f>
        <v>96.697349619906305</v>
      </c>
      <c r="P28" s="21">
        <f>가정!$C$39*(1+D28*가정!$C$13)</f>
        <v>1.3964166666666664</v>
      </c>
      <c r="Q28" s="21">
        <f>1+F28*가정!$C$15</f>
        <v>1.0860000000000001</v>
      </c>
      <c r="R28" s="21">
        <f t="shared" si="0"/>
        <v>1.5165084999999998</v>
      </c>
      <c r="S28" s="20">
        <f t="shared" si="1"/>
        <v>146.64235262605968</v>
      </c>
      <c r="T28" s="19">
        <f>IF(F28=1,가정!$C$16,가정!$C$40)</f>
        <v>29800</v>
      </c>
      <c r="U28" s="20">
        <f t="shared" si="2"/>
        <v>436.99421082565783</v>
      </c>
      <c r="V28" s="20">
        <f>U28/(1-가정!$C$41)*가정!$C$42</f>
        <v>459.99390613227143</v>
      </c>
      <c r="W28" s="19">
        <f>가정!$C$33+N28+K28</f>
        <v>682.94618686628758</v>
      </c>
      <c r="X28" s="19">
        <f t="shared" si="7"/>
        <v>892.94618686628758</v>
      </c>
      <c r="Y28" s="19">
        <f t="shared" si="3"/>
        <v>1575.8923737325752</v>
      </c>
      <c r="Z28" s="20">
        <f t="shared" si="4"/>
        <v>135.0297906317308</v>
      </c>
    </row>
    <row r="29" spans="1:26" x14ac:dyDescent="0.3">
      <c r="A29" s="16">
        <v>26</v>
      </c>
      <c r="B29" s="16">
        <v>2029</v>
      </c>
      <c r="C29" s="16">
        <v>2</v>
      </c>
      <c r="D29" s="17">
        <f>가정!$F$6*MIN(1,MAX(0,(A29-가정!$C$28+1)/가정!$C$30))</f>
        <v>0.4375</v>
      </c>
      <c r="E29" s="17">
        <f>IF(가정!$F$7&lt;30000,1,0)*MIN(1,MAX(0,(A29-가정!$C$29+1)/가정!$C$30))</f>
        <v>0.41666666666666669</v>
      </c>
      <c r="F29" s="16">
        <f>IF(가정!$F$7&lt;30000,1,0)*IF(A29&gt;=가정!$C$29,1,0)</f>
        <v>1</v>
      </c>
      <c r="G29" s="17">
        <f>가정!$F$8*MIN(1,MAX(0,(A29-가정!$C$31+1)/가정!$C$32))</f>
        <v>1</v>
      </c>
      <c r="H29" s="18">
        <f>가정!$C$37+D29*가정!$C$14+E29*가정!$C$18</f>
        <v>-3.2916666666666667E-3</v>
      </c>
      <c r="I29" s="17">
        <f t="shared" si="5"/>
        <v>17.9730830672626</v>
      </c>
      <c r="J29" s="17">
        <f>I29*(1+G29*가정!$C$19)</f>
        <v>23.005546326096127</v>
      </c>
      <c r="K29" s="17">
        <f>I29*가정!$C$36*(1+G29*가정!$C$19*가정!$C$24)</f>
        <v>11.502773163048063</v>
      </c>
      <c r="L29" s="18">
        <f>가정!$C$38+D29*가정!$C$12+E29*가정!$C$17</f>
        <v>0.12764583333333335</v>
      </c>
      <c r="M29" s="18">
        <f>가정!$C$38+가정!$C$23*(L29-가정!$C$38)</f>
        <v>0.12764583333333335</v>
      </c>
      <c r="N29" s="19">
        <f t="shared" si="6"/>
        <v>276.94618686628752</v>
      </c>
      <c r="O29" s="20">
        <f>K29+가정!$C$33*M29+N29*L29</f>
        <v>98.678008307417727</v>
      </c>
      <c r="P29" s="21">
        <f>가정!$C$39*(1+D29*가정!$C$13)</f>
        <v>1.4017874999999997</v>
      </c>
      <c r="Q29" s="21">
        <f>1+F29*가정!$C$15</f>
        <v>1.0860000000000001</v>
      </c>
      <c r="R29" s="21">
        <f t="shared" si="0"/>
        <v>1.5223412249999999</v>
      </c>
      <c r="S29" s="20">
        <f t="shared" si="1"/>
        <v>150.22160004727448</v>
      </c>
      <c r="T29" s="19">
        <f>IF(F29=1,가정!$C$16,가정!$C$40)</f>
        <v>29800</v>
      </c>
      <c r="U29" s="20">
        <f t="shared" si="2"/>
        <v>447.66036814087795</v>
      </c>
      <c r="V29" s="20">
        <f>U29/(1-가정!$C$41)*가정!$C$42</f>
        <v>471.22144014829257</v>
      </c>
      <c r="W29" s="19">
        <f>가정!$C$33+N29+K29</f>
        <v>694.44896002933558</v>
      </c>
      <c r="X29" s="19">
        <f t="shared" si="7"/>
        <v>904.44896002933558</v>
      </c>
      <c r="Y29" s="19">
        <f t="shared" si="3"/>
        <v>1598.8979200586712</v>
      </c>
      <c r="Z29" s="20">
        <f t="shared" si="4"/>
        <v>138.32559857023429</v>
      </c>
    </row>
    <row r="30" spans="1:26" x14ac:dyDescent="0.3">
      <c r="A30" s="16">
        <v>27</v>
      </c>
      <c r="B30" s="16">
        <v>2029</v>
      </c>
      <c r="C30" s="16">
        <v>3</v>
      </c>
      <c r="D30" s="17">
        <f>가정!$F$6*MIN(1,MAX(0,(A30-가정!$C$28+1)/가정!$C$30))</f>
        <v>0.45833333333333331</v>
      </c>
      <c r="E30" s="17">
        <f>IF(가정!$F$7&lt;30000,1,0)*MIN(1,MAX(0,(A30-가정!$C$29+1)/가정!$C$30))</f>
        <v>0.4375</v>
      </c>
      <c r="F30" s="16">
        <f>IF(가정!$F$7&lt;30000,1,0)*IF(A30&gt;=가정!$C$29,1,0)</f>
        <v>1</v>
      </c>
      <c r="G30" s="17">
        <f>가정!$F$8*MIN(1,MAX(0,(A30-가정!$C$31+1)/가정!$C$32))</f>
        <v>1</v>
      </c>
      <c r="H30" s="18">
        <f>가정!$C$37+D30*가정!$C$14+E30*가정!$C$18</f>
        <v>-3.2083333333333339E-3</v>
      </c>
      <c r="I30" s="17">
        <f t="shared" si="5"/>
        <v>17.915419425755132</v>
      </c>
      <c r="J30" s="17">
        <f>I30*(1+G30*가정!$C$19)</f>
        <v>22.93173686496657</v>
      </c>
      <c r="K30" s="17">
        <f>I30*가정!$C$36*(1+G30*가정!$C$19*가정!$C$24)</f>
        <v>11.465868432483285</v>
      </c>
      <c r="L30" s="18">
        <f>가정!$C$38+D30*가정!$C$12+E30*가정!$C$17</f>
        <v>0.12845833333333334</v>
      </c>
      <c r="M30" s="18">
        <f>가정!$C$38+가정!$C$23*(L30-가정!$C$38)</f>
        <v>0.12845833333333334</v>
      </c>
      <c r="N30" s="19">
        <f t="shared" si="6"/>
        <v>288.44896002933558</v>
      </c>
      <c r="O30" s="20">
        <f>K30+가정!$C$33*M30+N30*L30</f>
        <v>100.67362442291835</v>
      </c>
      <c r="P30" s="21">
        <f>가정!$C$39*(1+D30*가정!$C$13)</f>
        <v>1.4071583333333335</v>
      </c>
      <c r="Q30" s="21">
        <f>1+F30*가정!$C$15</f>
        <v>1.0860000000000001</v>
      </c>
      <c r="R30" s="21">
        <f t="shared" si="0"/>
        <v>1.5281739500000002</v>
      </c>
      <c r="S30" s="20">
        <f t="shared" si="1"/>
        <v>153.84681029518762</v>
      </c>
      <c r="T30" s="19">
        <f>IF(F30=1,가정!$C$16,가정!$C$40)</f>
        <v>29800</v>
      </c>
      <c r="U30" s="20">
        <f t="shared" si="2"/>
        <v>458.46349467965916</v>
      </c>
      <c r="V30" s="20">
        <f>U30/(1-가정!$C$41)*가정!$C$42</f>
        <v>482.59315229437811</v>
      </c>
      <c r="W30" s="19">
        <f>가정!$C$33+N30+K30</f>
        <v>705.91482846181884</v>
      </c>
      <c r="X30" s="19">
        <f t="shared" si="7"/>
        <v>915.91482846181884</v>
      </c>
      <c r="Y30" s="19">
        <f t="shared" si="3"/>
        <v>1621.8296569236377</v>
      </c>
      <c r="Z30" s="20">
        <f t="shared" si="4"/>
        <v>141.66372955357977</v>
      </c>
    </row>
    <row r="31" spans="1:26" x14ac:dyDescent="0.3">
      <c r="A31" s="16">
        <v>28</v>
      </c>
      <c r="B31" s="16">
        <v>2029</v>
      </c>
      <c r="C31" s="16">
        <v>4</v>
      </c>
      <c r="D31" s="17">
        <f>가정!$F$6*MIN(1,MAX(0,(A31-가정!$C$28+1)/가정!$C$30))</f>
        <v>0.47916666666666669</v>
      </c>
      <c r="E31" s="17">
        <f>IF(가정!$F$7&lt;30000,1,0)*MIN(1,MAX(0,(A31-가정!$C$29+1)/가정!$C$30))</f>
        <v>0.45833333333333331</v>
      </c>
      <c r="F31" s="16">
        <f>IF(가정!$F$7&lt;30000,1,0)*IF(A31&gt;=가정!$C$29,1,0)</f>
        <v>1</v>
      </c>
      <c r="G31" s="17">
        <f>가정!$F$8*MIN(1,MAX(0,(A31-가정!$C$31+1)/가정!$C$32))</f>
        <v>1</v>
      </c>
      <c r="H31" s="18">
        <f>가정!$C$37+D31*가정!$C$14+E31*가정!$C$18</f>
        <v>-3.1249999999999997E-3</v>
      </c>
      <c r="I31" s="17">
        <f t="shared" si="5"/>
        <v>17.859433740049646</v>
      </c>
      <c r="J31" s="17">
        <f>I31*(1+G31*가정!$C$19)</f>
        <v>22.860075187263547</v>
      </c>
      <c r="K31" s="17">
        <f>I31*가정!$C$36*(1+G31*가정!$C$19*가정!$C$24)</f>
        <v>11.430037593631774</v>
      </c>
      <c r="L31" s="18">
        <f>가정!$C$38+D31*가정!$C$12+E31*가정!$C$17</f>
        <v>0.12927083333333333</v>
      </c>
      <c r="M31" s="18">
        <f>가정!$C$38+가정!$C$23*(L31-가정!$C$38)</f>
        <v>0.12927083333333333</v>
      </c>
      <c r="N31" s="19">
        <f t="shared" si="6"/>
        <v>299.91482846181884</v>
      </c>
      <c r="O31" s="20">
        <f>K31+가정!$C$33*M31+N31*L31</f>
        <v>102.68423573124815</v>
      </c>
      <c r="P31" s="21">
        <f>가정!$C$39*(1+D31*가정!$C$13)</f>
        <v>1.4125291666666666</v>
      </c>
      <c r="Q31" s="21">
        <f>1+F31*가정!$C$15</f>
        <v>1.0860000000000001</v>
      </c>
      <c r="R31" s="21">
        <f t="shared" si="0"/>
        <v>1.5340066750000001</v>
      </c>
      <c r="S31" s="20">
        <f t="shared" si="1"/>
        <v>157.51830302900817</v>
      </c>
      <c r="T31" s="19">
        <f>IF(F31=1,가정!$C$16,가정!$C$40)</f>
        <v>29800</v>
      </c>
      <c r="U31" s="20">
        <f t="shared" si="2"/>
        <v>469.40454302644434</v>
      </c>
      <c r="V31" s="20">
        <f>U31/(1-가정!$C$41)*가정!$C$42</f>
        <v>494.11004529099409</v>
      </c>
      <c r="W31" s="19">
        <f>가정!$C$33+N31+K31</f>
        <v>717.34486605545067</v>
      </c>
      <c r="X31" s="19">
        <f t="shared" si="7"/>
        <v>927.34486605545055</v>
      </c>
      <c r="Y31" s="19">
        <f t="shared" si="3"/>
        <v>1644.6897321109013</v>
      </c>
      <c r="Z31" s="20">
        <f t="shared" si="4"/>
        <v>145.0444779272635</v>
      </c>
    </row>
    <row r="32" spans="1:26" x14ac:dyDescent="0.3">
      <c r="A32" s="16">
        <v>29</v>
      </c>
      <c r="B32" s="16">
        <v>2029</v>
      </c>
      <c r="C32" s="16">
        <v>5</v>
      </c>
      <c r="D32" s="17">
        <f>가정!$F$6*MIN(1,MAX(0,(A32-가정!$C$28+1)/가정!$C$30))</f>
        <v>0.5</v>
      </c>
      <c r="E32" s="17">
        <f>IF(가정!$F$7&lt;30000,1,0)*MIN(1,MAX(0,(A32-가정!$C$29+1)/가정!$C$30))</f>
        <v>0.47916666666666669</v>
      </c>
      <c r="F32" s="16">
        <f>IF(가정!$F$7&lt;30000,1,0)*IF(A32&gt;=가정!$C$29,1,0)</f>
        <v>1</v>
      </c>
      <c r="G32" s="17">
        <f>가정!$F$8*MIN(1,MAX(0,(A32-가정!$C$31+1)/가정!$C$32))</f>
        <v>1</v>
      </c>
      <c r="H32" s="18">
        <f>가정!$C$37+D32*가정!$C$14+E32*가정!$C$18</f>
        <v>-3.0416666666666665E-3</v>
      </c>
      <c r="I32" s="17">
        <f t="shared" si="5"/>
        <v>17.805111295756994</v>
      </c>
      <c r="J32" s="17">
        <f>I32*(1+G32*가정!$C$19)</f>
        <v>22.790542458568954</v>
      </c>
      <c r="K32" s="17">
        <f>I32*가정!$C$36*(1+G32*가정!$C$19*가정!$C$24)</f>
        <v>11.395271229284477</v>
      </c>
      <c r="L32" s="18">
        <f>가정!$C$38+D32*가정!$C$12+E32*가정!$C$17</f>
        <v>0.13008333333333333</v>
      </c>
      <c r="M32" s="18">
        <f>가정!$C$38+가정!$C$23*(L32-가정!$C$38)</f>
        <v>0.13008333333333333</v>
      </c>
      <c r="N32" s="19">
        <f t="shared" si="6"/>
        <v>311.34486605545061</v>
      </c>
      <c r="O32" s="20">
        <f>K32+가정!$C$33*M32+N32*L32</f>
        <v>104.70988255533101</v>
      </c>
      <c r="P32" s="21">
        <f>가정!$C$39*(1+D32*가정!$C$13)</f>
        <v>1.4178999999999999</v>
      </c>
      <c r="Q32" s="21">
        <f>1+F32*가정!$C$15</f>
        <v>1.0860000000000001</v>
      </c>
      <c r="R32" s="21">
        <f t="shared" si="0"/>
        <v>1.5398394</v>
      </c>
      <c r="S32" s="20">
        <f t="shared" si="1"/>
        <v>161.23640272807137</v>
      </c>
      <c r="T32" s="19">
        <f>IF(F32=1,가정!$C$16,가정!$C$40)</f>
        <v>29800</v>
      </c>
      <c r="U32" s="20">
        <f t="shared" si="2"/>
        <v>480.48448012965264</v>
      </c>
      <c r="V32" s="20">
        <f>U32/(1-가정!$C$41)*가정!$C$42</f>
        <v>505.77313697858176</v>
      </c>
      <c r="W32" s="19">
        <f>가정!$C$33+N32+K32</f>
        <v>728.74013728473517</v>
      </c>
      <c r="X32" s="19">
        <f t="shared" si="7"/>
        <v>938.74013728473506</v>
      </c>
      <c r="Y32" s="19">
        <f t="shared" si="3"/>
        <v>1667.4802745694701</v>
      </c>
      <c r="Z32" s="20">
        <f t="shared" si="4"/>
        <v>148.46814247520382</v>
      </c>
    </row>
    <row r="33" spans="1:26" x14ac:dyDescent="0.3">
      <c r="A33" s="16">
        <v>30</v>
      </c>
      <c r="B33" s="16">
        <v>2029</v>
      </c>
      <c r="C33" s="16">
        <v>6</v>
      </c>
      <c r="D33" s="17">
        <f>가정!$F$6*MIN(1,MAX(0,(A33-가정!$C$28+1)/가정!$C$30))</f>
        <v>0.52083333333333337</v>
      </c>
      <c r="E33" s="17">
        <f>IF(가정!$F$7&lt;30000,1,0)*MIN(1,MAX(0,(A33-가정!$C$29+1)/가정!$C$30))</f>
        <v>0.5</v>
      </c>
      <c r="F33" s="16">
        <f>IF(가정!$F$7&lt;30000,1,0)*IF(A33&gt;=가정!$C$29,1,0)</f>
        <v>1</v>
      </c>
      <c r="G33" s="17">
        <f>가정!$F$8*MIN(1,MAX(0,(A33-가정!$C$31+1)/가정!$C$32))</f>
        <v>1</v>
      </c>
      <c r="H33" s="18">
        <f>가정!$C$37+D33*가정!$C$14+E33*가정!$C$18</f>
        <v>-2.9583333333333328E-3</v>
      </c>
      <c r="I33" s="17">
        <f t="shared" si="5"/>
        <v>17.752437841507046</v>
      </c>
      <c r="J33" s="17">
        <f>I33*(1+G33*가정!$C$19)</f>
        <v>22.723120437129019</v>
      </c>
      <c r="K33" s="17">
        <f>I33*가정!$C$36*(1+G33*가정!$C$19*가정!$C$24)</f>
        <v>11.361560218564509</v>
      </c>
      <c r="L33" s="18">
        <f>가정!$C$38+D33*가정!$C$12+E33*가정!$C$17</f>
        <v>0.13089583333333335</v>
      </c>
      <c r="M33" s="18">
        <f>가정!$C$38+가정!$C$23*(L33-가정!$C$38)</f>
        <v>0.13089583333333335</v>
      </c>
      <c r="N33" s="19">
        <f t="shared" si="6"/>
        <v>322.74013728473511</v>
      </c>
      <c r="O33" s="20">
        <f>K33+가정!$C$33*M33+N33*L33</f>
        <v>106.75060777189768</v>
      </c>
      <c r="P33" s="21">
        <f>가정!$C$39*(1+D33*가정!$C$13)</f>
        <v>1.4232708333333333</v>
      </c>
      <c r="Q33" s="21">
        <f>1+F33*가정!$C$15</f>
        <v>1.0860000000000001</v>
      </c>
      <c r="R33" s="21">
        <f t="shared" si="0"/>
        <v>1.5456721250000001</v>
      </c>
      <c r="S33" s="20">
        <f t="shared" si="1"/>
        <v>165.00143875983059</v>
      </c>
      <c r="T33" s="19">
        <f>IF(F33=1,가정!$C$16,가정!$C$40)</f>
        <v>29800</v>
      </c>
      <c r="U33" s="20">
        <f t="shared" si="2"/>
        <v>491.70428750429517</v>
      </c>
      <c r="V33" s="20">
        <f>U33/(1-가정!$C$41)*가정!$C$42</f>
        <v>517.58346053083699</v>
      </c>
      <c r="W33" s="19">
        <f>가정!$C$33+N33+K33</f>
        <v>740.10169750329953</v>
      </c>
      <c r="X33" s="19">
        <f t="shared" si="7"/>
        <v>950.10169750329965</v>
      </c>
      <c r="Y33" s="19">
        <f t="shared" si="3"/>
        <v>1690.2033950065993</v>
      </c>
      <c r="Z33" s="20">
        <f t="shared" si="4"/>
        <v>151.9350264823486</v>
      </c>
    </row>
    <row r="34" spans="1:26" x14ac:dyDescent="0.3">
      <c r="A34" s="16">
        <v>31</v>
      </c>
      <c r="B34" s="16">
        <v>2029</v>
      </c>
      <c r="C34" s="16">
        <v>7</v>
      </c>
      <c r="D34" s="17">
        <f>가정!$F$6*MIN(1,MAX(0,(A34-가정!$C$28+1)/가정!$C$30))</f>
        <v>0.54166666666666663</v>
      </c>
      <c r="E34" s="17">
        <f>IF(가정!$F$7&lt;30000,1,0)*MIN(1,MAX(0,(A34-가정!$C$29+1)/가정!$C$30))</f>
        <v>0.52083333333333337</v>
      </c>
      <c r="F34" s="16">
        <f>IF(가정!$F$7&lt;30000,1,0)*IF(A34&gt;=가정!$C$29,1,0)</f>
        <v>1</v>
      </c>
      <c r="G34" s="17">
        <f>가정!$F$8*MIN(1,MAX(0,(A34-가정!$C$31+1)/가정!$C$32))</f>
        <v>1</v>
      </c>
      <c r="H34" s="18">
        <f>가정!$C$37+D34*가정!$C$14+E34*가정!$C$18</f>
        <v>-2.8750000000000004E-3</v>
      </c>
      <c r="I34" s="17">
        <f t="shared" si="5"/>
        <v>17.701399582712714</v>
      </c>
      <c r="J34" s="17">
        <f>I34*(1+G34*가정!$C$19)</f>
        <v>22.657791465872275</v>
      </c>
      <c r="K34" s="17">
        <f>I34*가정!$C$36*(1+G34*가정!$C$19*가정!$C$24)</f>
        <v>11.328895732936138</v>
      </c>
      <c r="L34" s="18">
        <f>가정!$C$38+D34*가정!$C$12+E34*가정!$C$17</f>
        <v>0.13170833333333334</v>
      </c>
      <c r="M34" s="18">
        <f>가정!$C$38+가정!$C$23*(L34-가정!$C$38)</f>
        <v>0.13170833333333334</v>
      </c>
      <c r="N34" s="19">
        <f t="shared" si="6"/>
        <v>334.10169750329965</v>
      </c>
      <c r="O34" s="20">
        <f>K34+가정!$C$33*M34+N34*L34</f>
        <v>108.80645680826657</v>
      </c>
      <c r="P34" s="21">
        <f>가정!$C$39*(1+D34*가정!$C$13)</f>
        <v>1.4286416666666666</v>
      </c>
      <c r="Q34" s="21">
        <f>1+F34*가정!$C$15</f>
        <v>1.0860000000000001</v>
      </c>
      <c r="R34" s="21">
        <f t="shared" si="0"/>
        <v>1.5515048499999999</v>
      </c>
      <c r="S34" s="20">
        <f t="shared" si="1"/>
        <v>168.8137454493411</v>
      </c>
      <c r="T34" s="19">
        <f>IF(F34=1,가정!$C$16,가정!$C$40)</f>
        <v>29800</v>
      </c>
      <c r="U34" s="20">
        <f t="shared" si="2"/>
        <v>503.06496143903649</v>
      </c>
      <c r="V34" s="20">
        <f>U34/(1-가정!$C$41)*가정!$C$42</f>
        <v>529.54206467266999</v>
      </c>
      <c r="W34" s="19">
        <f>가정!$C$33+N34+K34</f>
        <v>751.43059323623584</v>
      </c>
      <c r="X34" s="19">
        <f t="shared" si="7"/>
        <v>961.43059323623572</v>
      </c>
      <c r="Y34" s="19">
        <f t="shared" si="3"/>
        <v>1712.8611864724717</v>
      </c>
      <c r="Z34" s="20">
        <f t="shared" si="4"/>
        <v>155.44543779865663</v>
      </c>
    </row>
    <row r="35" spans="1:26" x14ac:dyDescent="0.3">
      <c r="A35" s="16">
        <v>32</v>
      </c>
      <c r="B35" s="16">
        <v>2029</v>
      </c>
      <c r="C35" s="16">
        <v>8</v>
      </c>
      <c r="D35" s="17">
        <f>가정!$F$6*MIN(1,MAX(0,(A35-가정!$C$28+1)/가정!$C$30))</f>
        <v>0.5625</v>
      </c>
      <c r="E35" s="17">
        <f>IF(가정!$F$7&lt;30000,1,0)*MIN(1,MAX(0,(A35-가정!$C$29+1)/가정!$C$30))</f>
        <v>0.54166666666666663</v>
      </c>
      <c r="F35" s="16">
        <f>IF(가정!$F$7&lt;30000,1,0)*IF(A35&gt;=가정!$C$29,1,0)</f>
        <v>1</v>
      </c>
      <c r="G35" s="17">
        <f>가정!$F$8*MIN(1,MAX(0,(A35-가정!$C$31+1)/가정!$C$32))</f>
        <v>1</v>
      </c>
      <c r="H35" s="18">
        <f>가정!$C$37+D35*가정!$C$14+E35*가정!$C$18</f>
        <v>-2.7916666666666667E-3</v>
      </c>
      <c r="I35" s="17">
        <f t="shared" si="5"/>
        <v>17.651983175544309</v>
      </c>
      <c r="J35" s="17">
        <f>I35*(1+G35*가정!$C$19)</f>
        <v>22.594538464696715</v>
      </c>
      <c r="K35" s="17">
        <f>I35*가정!$C$36*(1+G35*가정!$C$19*가정!$C$24)</f>
        <v>11.297269232348357</v>
      </c>
      <c r="L35" s="18">
        <f>가정!$C$38+D35*가정!$C$12+E35*가정!$C$17</f>
        <v>0.13252083333333334</v>
      </c>
      <c r="M35" s="18">
        <f>가정!$C$38+가정!$C$23*(L35-가정!$C$38)</f>
        <v>0.13252083333333334</v>
      </c>
      <c r="N35" s="19">
        <f t="shared" si="6"/>
        <v>345.43059323623578</v>
      </c>
      <c r="O35" s="20">
        <f>K35+가정!$C$33*M35+N35*L35</f>
        <v>110.87747764017536</v>
      </c>
      <c r="P35" s="21">
        <f>가정!$C$39*(1+D35*가정!$C$13)</f>
        <v>1.4340124999999999</v>
      </c>
      <c r="Q35" s="21">
        <f>1+F35*가정!$C$15</f>
        <v>1.0860000000000001</v>
      </c>
      <c r="R35" s="21">
        <f t="shared" si="0"/>
        <v>1.557337575</v>
      </c>
      <c r="S35" s="20">
        <f t="shared" si="1"/>
        <v>172.6736621502674</v>
      </c>
      <c r="T35" s="19">
        <f>IF(F35=1,가정!$C$16,가정!$C$40)</f>
        <v>29800</v>
      </c>
      <c r="U35" s="20">
        <f t="shared" si="2"/>
        <v>514.56751320779688</v>
      </c>
      <c r="V35" s="20">
        <f>U35/(1-가정!$C$41)*가정!$C$42</f>
        <v>541.65001390294412</v>
      </c>
      <c r="W35" s="19">
        <f>가정!$C$33+N35+K35</f>
        <v>762.72786246858425</v>
      </c>
      <c r="X35" s="19">
        <f t="shared" si="7"/>
        <v>972.72786246858402</v>
      </c>
      <c r="Y35" s="19">
        <f t="shared" si="3"/>
        <v>1735.4557249371683</v>
      </c>
      <c r="Z35" s="20">
        <f t="shared" si="4"/>
        <v>158.99968890448196</v>
      </c>
    </row>
    <row r="36" spans="1:26" x14ac:dyDescent="0.3">
      <c r="A36" s="16">
        <v>33</v>
      </c>
      <c r="B36" s="16">
        <v>2029</v>
      </c>
      <c r="C36" s="16">
        <v>9</v>
      </c>
      <c r="D36" s="17">
        <f>가정!$F$6*MIN(1,MAX(0,(A36-가정!$C$28+1)/가정!$C$30))</f>
        <v>0.58333333333333337</v>
      </c>
      <c r="E36" s="17">
        <f>IF(가정!$F$7&lt;30000,1,0)*MIN(1,MAX(0,(A36-가정!$C$29+1)/가정!$C$30))</f>
        <v>0.5625</v>
      </c>
      <c r="F36" s="16">
        <f>IF(가정!$F$7&lt;30000,1,0)*IF(A36&gt;=가정!$C$29,1,0)</f>
        <v>1</v>
      </c>
      <c r="G36" s="17">
        <f>가정!$F$8*MIN(1,MAX(0,(A36-가정!$C$31+1)/가정!$C$32))</f>
        <v>1</v>
      </c>
      <c r="H36" s="18">
        <f>가정!$C$37+D36*가정!$C$14+E36*가정!$C$18</f>
        <v>-2.7083333333333334E-3</v>
      </c>
      <c r="I36" s="17">
        <f t="shared" si="5"/>
        <v>17.604175721110543</v>
      </c>
      <c r="J36" s="17">
        <f>I36*(1+G36*가정!$C$19)</f>
        <v>22.533344923021495</v>
      </c>
      <c r="K36" s="17">
        <f>I36*가정!$C$36*(1+G36*가정!$C$19*가정!$C$24)</f>
        <v>11.266672461510748</v>
      </c>
      <c r="L36" s="18">
        <f>가정!$C$38+D36*가정!$C$12+E36*가정!$C$17</f>
        <v>0.13333333333333333</v>
      </c>
      <c r="M36" s="18">
        <f>가정!$C$38+가정!$C$23*(L36-가정!$C$38)</f>
        <v>0.13333333333333333</v>
      </c>
      <c r="N36" s="19">
        <f t="shared" si="6"/>
        <v>356.72786246858414</v>
      </c>
      <c r="O36" s="20">
        <f>K36+가정!$C$33*M36+N36*L36</f>
        <v>112.96372079065529</v>
      </c>
      <c r="P36" s="21">
        <f>가정!$C$39*(1+D36*가정!$C$13)</f>
        <v>1.4393833333333332</v>
      </c>
      <c r="Q36" s="21">
        <f>1+F36*가정!$C$15</f>
        <v>1.0860000000000001</v>
      </c>
      <c r="R36" s="21">
        <f t="shared" ref="R36:R63" si="8">P36*Q36</f>
        <v>1.5631702999999999</v>
      </c>
      <c r="S36" s="20">
        <f t="shared" ref="S36:S63" si="9">O36*R36</f>
        <v>176.58153331744487</v>
      </c>
      <c r="T36" s="19">
        <f>IF(F36=1,가정!$C$16,가정!$C$40)</f>
        <v>29800</v>
      </c>
      <c r="U36" s="20">
        <f t="shared" ref="U36:U63" si="10">S36*T36/10000</f>
        <v>526.21296928598576</v>
      </c>
      <c r="V36" s="20">
        <f>U36/(1-가정!$C$41)*가정!$C$42</f>
        <v>553.90838872209031</v>
      </c>
      <c r="W36" s="19">
        <f>가정!$C$33+N36+K36</f>
        <v>773.99453493009491</v>
      </c>
      <c r="X36" s="19">
        <f t="shared" si="7"/>
        <v>983.99453493009469</v>
      </c>
      <c r="Y36" s="19">
        <f t="shared" ref="Y36:Y63" si="11">W36+X36</f>
        <v>1757.9890698601896</v>
      </c>
      <c r="Z36" s="20">
        <f t="shared" ref="Z36:Z63" si="12">O36*P36</f>
        <v>162.59809697738936</v>
      </c>
    </row>
    <row r="37" spans="1:26" x14ac:dyDescent="0.3">
      <c r="A37" s="16">
        <v>34</v>
      </c>
      <c r="B37" s="16">
        <v>2029</v>
      </c>
      <c r="C37" s="16">
        <v>10</v>
      </c>
      <c r="D37" s="17">
        <f>가정!$F$6*MIN(1,MAX(0,(A37-가정!$C$28+1)/가정!$C$30))</f>
        <v>0.60416666666666663</v>
      </c>
      <c r="E37" s="17">
        <f>IF(가정!$F$7&lt;30000,1,0)*MIN(1,MAX(0,(A37-가정!$C$29+1)/가정!$C$30))</f>
        <v>0.58333333333333337</v>
      </c>
      <c r="F37" s="16">
        <f>IF(가정!$F$7&lt;30000,1,0)*IF(A37&gt;=가정!$C$29,1,0)</f>
        <v>1</v>
      </c>
      <c r="G37" s="17">
        <f>가정!$F$8*MIN(1,MAX(0,(A37-가정!$C$31+1)/가정!$C$32))</f>
        <v>1</v>
      </c>
      <c r="H37" s="18">
        <f>가정!$C$37+D37*가정!$C$14+E37*가정!$C$18</f>
        <v>-2.6250000000000006E-3</v>
      </c>
      <c r="I37" s="17">
        <f t="shared" ref="I37:I63" si="13">I36*(1+H37)</f>
        <v>17.55796475984263</v>
      </c>
      <c r="J37" s="17">
        <f>I37*(1+G37*가정!$C$19)</f>
        <v>22.474194892598568</v>
      </c>
      <c r="K37" s="17">
        <f>I37*가정!$C$36*(1+G37*가정!$C$19*가정!$C$24)</f>
        <v>11.237097446299284</v>
      </c>
      <c r="L37" s="18">
        <f>가정!$C$38+D37*가정!$C$12+E37*가정!$C$17</f>
        <v>0.13414583333333333</v>
      </c>
      <c r="M37" s="18">
        <f>가정!$C$38+가정!$C$23*(L37-가정!$C$38)</f>
        <v>0.13414583333333333</v>
      </c>
      <c r="N37" s="19">
        <f t="shared" ref="N37:N63" si="14">N36+K36</f>
        <v>367.99453493009486</v>
      </c>
      <c r="O37" s="20">
        <f>K37+가정!$C$33*M37+N37*L37</f>
        <v>115.06523932994263</v>
      </c>
      <c r="P37" s="21">
        <f>가정!$C$39*(1+D37*가정!$C$13)</f>
        <v>1.4447541666666666</v>
      </c>
      <c r="Q37" s="21">
        <f>1+F37*가정!$C$15</f>
        <v>1.0860000000000001</v>
      </c>
      <c r="R37" s="21">
        <f t="shared" si="8"/>
        <v>1.569003025</v>
      </c>
      <c r="S37" s="20">
        <f t="shared" si="9"/>
        <v>180.53770858102897</v>
      </c>
      <c r="T37" s="19">
        <f>IF(F37=1,가정!$C$16,가정!$C$40)</f>
        <v>29800</v>
      </c>
      <c r="U37" s="20">
        <f t="shared" si="10"/>
        <v>538.00237157146637</v>
      </c>
      <c r="V37" s="20">
        <f>U37/(1-가정!$C$41)*가정!$C$42</f>
        <v>566.31828586470147</v>
      </c>
      <c r="W37" s="19">
        <f>가정!$C$33+N37+K37</f>
        <v>785.23163237639415</v>
      </c>
      <c r="X37" s="19">
        <f t="shared" ref="X37:X63" si="15">X36+J37-K37</f>
        <v>995.23163237639403</v>
      </c>
      <c r="Y37" s="19">
        <f t="shared" si="11"/>
        <v>1780.4632647527883</v>
      </c>
      <c r="Z37" s="20">
        <f t="shared" si="12"/>
        <v>166.24098396043181</v>
      </c>
    </row>
    <row r="38" spans="1:26" x14ac:dyDescent="0.3">
      <c r="A38" s="16">
        <v>35</v>
      </c>
      <c r="B38" s="16">
        <v>2029</v>
      </c>
      <c r="C38" s="16">
        <v>11</v>
      </c>
      <c r="D38" s="17">
        <f>가정!$F$6*MIN(1,MAX(0,(A38-가정!$C$28+1)/가정!$C$30))</f>
        <v>0.625</v>
      </c>
      <c r="E38" s="17">
        <f>IF(가정!$F$7&lt;30000,1,0)*MIN(1,MAX(0,(A38-가정!$C$29+1)/가정!$C$30))</f>
        <v>0.60416666666666663</v>
      </c>
      <c r="F38" s="16">
        <f>IF(가정!$F$7&lt;30000,1,0)*IF(A38&gt;=가정!$C$29,1,0)</f>
        <v>1</v>
      </c>
      <c r="G38" s="17">
        <f>가정!$F$8*MIN(1,MAX(0,(A38-가정!$C$31+1)/가정!$C$32))</f>
        <v>1</v>
      </c>
      <c r="H38" s="18">
        <f>가정!$C$37+D38*가정!$C$14+E38*가정!$C$18</f>
        <v>-2.5416666666666669E-3</v>
      </c>
      <c r="I38" s="17">
        <f t="shared" si="13"/>
        <v>17.51333826607803</v>
      </c>
      <c r="J38" s="17">
        <f>I38*(1+G38*가정!$C$19)</f>
        <v>22.417072980579878</v>
      </c>
      <c r="K38" s="17">
        <f>I38*가정!$C$36*(1+G38*가정!$C$19*가정!$C$24)</f>
        <v>11.208536490289939</v>
      </c>
      <c r="L38" s="18">
        <f>가정!$C$38+D38*가정!$C$12+E38*가정!$C$17</f>
        <v>0.13495833333333332</v>
      </c>
      <c r="M38" s="18">
        <f>가정!$C$38+가정!$C$23*(L38-가정!$C$38)</f>
        <v>0.13495833333333332</v>
      </c>
      <c r="N38" s="19">
        <f t="shared" si="14"/>
        <v>379.23163237639415</v>
      </c>
      <c r="O38" s="20">
        <f>K38+가정!$C$33*M38+N38*L38</f>
        <v>117.18208887642079</v>
      </c>
      <c r="P38" s="21">
        <f>가정!$C$39*(1+D38*가정!$C$13)</f>
        <v>1.4501249999999999</v>
      </c>
      <c r="Q38" s="21">
        <f>1+F38*가정!$C$15</f>
        <v>1.0860000000000001</v>
      </c>
      <c r="R38" s="21">
        <f t="shared" si="8"/>
        <v>1.5748357500000001</v>
      </c>
      <c r="S38" s="20">
        <f t="shared" si="9"/>
        <v>184.54254282226481</v>
      </c>
      <c r="T38" s="19">
        <f>IF(F38=1,가정!$C$16,가정!$C$40)</f>
        <v>29800</v>
      </c>
      <c r="U38" s="20">
        <f t="shared" si="10"/>
        <v>549.93677761034905</v>
      </c>
      <c r="V38" s="20">
        <f>U38/(1-가정!$C$41)*가정!$C$42</f>
        <v>578.88081853720951</v>
      </c>
      <c r="W38" s="19">
        <f>가정!$C$33+N38+K38</f>
        <v>796.44016886668408</v>
      </c>
      <c r="X38" s="19">
        <f t="shared" si="15"/>
        <v>1006.440168866684</v>
      </c>
      <c r="Y38" s="19">
        <f t="shared" si="11"/>
        <v>1802.8803377333679</v>
      </c>
      <c r="Z38" s="20">
        <f t="shared" si="12"/>
        <v>169.9286766319197</v>
      </c>
    </row>
    <row r="39" spans="1:26" x14ac:dyDescent="0.3">
      <c r="A39" s="22">
        <v>36</v>
      </c>
      <c r="B39" s="22">
        <v>2029</v>
      </c>
      <c r="C39" s="22">
        <v>12</v>
      </c>
      <c r="D39" s="23">
        <f>가정!$F$6*MIN(1,MAX(0,(A39-가정!$C$28+1)/가정!$C$30))</f>
        <v>0.64583333333333337</v>
      </c>
      <c r="E39" s="23">
        <f>IF(가정!$F$7&lt;30000,1,0)*MIN(1,MAX(0,(A39-가정!$C$29+1)/가정!$C$30))</f>
        <v>0.625</v>
      </c>
      <c r="F39" s="22">
        <f>IF(가정!$F$7&lt;30000,1,0)*IF(A39&gt;=가정!$C$29,1,0)</f>
        <v>1</v>
      </c>
      <c r="G39" s="23">
        <f>가정!$F$8*MIN(1,MAX(0,(A39-가정!$C$31+1)/가정!$C$32))</f>
        <v>1</v>
      </c>
      <c r="H39" s="24">
        <f>가정!$C$37+D39*가정!$C$14+E39*가정!$C$18</f>
        <v>-2.4583333333333332E-3</v>
      </c>
      <c r="I39" s="23">
        <f t="shared" si="13"/>
        <v>17.470284642840589</v>
      </c>
      <c r="J39" s="23">
        <f>I39*(1+G39*가정!$C$19)</f>
        <v>22.361964342835954</v>
      </c>
      <c r="K39" s="23">
        <f>I39*가정!$C$36*(1+G39*가정!$C$19*가정!$C$24)</f>
        <v>11.180982171417977</v>
      </c>
      <c r="L39" s="24">
        <f>가정!$C$38+D39*가정!$C$12+E39*가정!$C$17</f>
        <v>0.13577083333333334</v>
      </c>
      <c r="M39" s="24">
        <f>가정!$C$38+가정!$C$23*(L39-가정!$C$38)</f>
        <v>0.13577083333333334</v>
      </c>
      <c r="N39" s="25">
        <f t="shared" si="14"/>
        <v>390.44016886668408</v>
      </c>
      <c r="O39" s="26">
        <f>K39+가정!$C$33*M39+N39*L39</f>
        <v>119.31432759858839</v>
      </c>
      <c r="P39" s="27">
        <f>가정!$C$39*(1+D39*가정!$C$13)</f>
        <v>1.4554958333333332</v>
      </c>
      <c r="Q39" s="27">
        <f>1+F39*가정!$C$15</f>
        <v>1.0860000000000001</v>
      </c>
      <c r="R39" s="27">
        <f t="shared" si="8"/>
        <v>1.580668475</v>
      </c>
      <c r="S39" s="26">
        <f t="shared" si="9"/>
        <v>188.59639625091111</v>
      </c>
      <c r="T39" s="25">
        <f>IF(F39=1,가정!$C$16,가정!$C$40)</f>
        <v>29800</v>
      </c>
      <c r="U39" s="26">
        <f t="shared" si="10"/>
        <v>562.01726082771518</v>
      </c>
      <c r="V39" s="26">
        <f>U39/(1-가정!$C$41)*가정!$C$42</f>
        <v>591.59711666075282</v>
      </c>
      <c r="W39" s="25">
        <f>가정!$C$33+N39+K39</f>
        <v>807.62115103810208</v>
      </c>
      <c r="X39" s="25">
        <f t="shared" si="15"/>
        <v>1017.621151038102</v>
      </c>
      <c r="Y39" s="25">
        <f t="shared" si="11"/>
        <v>1825.2423020762039</v>
      </c>
      <c r="Z39" s="26">
        <f t="shared" si="12"/>
        <v>173.66150667671374</v>
      </c>
    </row>
    <row r="40" spans="1:26" x14ac:dyDescent="0.3">
      <c r="A40" s="16">
        <v>37</v>
      </c>
      <c r="B40" s="16">
        <v>2030</v>
      </c>
      <c r="C40" s="16">
        <v>1</v>
      </c>
      <c r="D40" s="17">
        <f>가정!$F$6*MIN(1,MAX(0,(A40-가정!$C$28+1)/가정!$C$30))</f>
        <v>0.66666666666666663</v>
      </c>
      <c r="E40" s="17">
        <f>IF(가정!$F$7&lt;30000,1,0)*MIN(1,MAX(0,(A40-가정!$C$29+1)/가정!$C$30))</f>
        <v>0.64583333333333337</v>
      </c>
      <c r="F40" s="16">
        <f>IF(가정!$F$7&lt;30000,1,0)*IF(A40&gt;=가정!$C$29,1,0)</f>
        <v>1</v>
      </c>
      <c r="G40" s="17">
        <f>가정!$F$8*MIN(1,MAX(0,(A40-가정!$C$31+1)/가정!$C$32))</f>
        <v>1</v>
      </c>
      <c r="H40" s="18">
        <f>가정!$C$37+D40*가정!$C$14+E40*가정!$C$18</f>
        <v>-2.3750000000000004E-3</v>
      </c>
      <c r="I40" s="17">
        <f t="shared" si="13"/>
        <v>17.428792716813842</v>
      </c>
      <c r="J40" s="17">
        <f>I40*(1+G40*가정!$C$19)</f>
        <v>22.308854677521719</v>
      </c>
      <c r="K40" s="17">
        <f>I40*가정!$C$36*(1+G40*가정!$C$19*가정!$C$24)</f>
        <v>11.154427338760859</v>
      </c>
      <c r="L40" s="18">
        <f>가정!$C$38+D40*가정!$C$12+E40*가정!$C$17</f>
        <v>0.13658333333333333</v>
      </c>
      <c r="M40" s="18">
        <f>가정!$C$38+가정!$C$23*(L40-가정!$C$38)</f>
        <v>0.13658333333333333</v>
      </c>
      <c r="N40" s="19">
        <f t="shared" si="14"/>
        <v>401.62115103810203</v>
      </c>
      <c r="O40" s="20">
        <f>K40+가정!$C$33*M40+N40*L40</f>
        <v>121.46201621804829</v>
      </c>
      <c r="P40" s="21">
        <f>가정!$C$39*(1+D40*가정!$C$13)</f>
        <v>1.4608666666666665</v>
      </c>
      <c r="Q40" s="21">
        <f>1+F40*가정!$C$15</f>
        <v>1.0860000000000001</v>
      </c>
      <c r="R40" s="21">
        <f t="shared" si="8"/>
        <v>1.5865012000000001</v>
      </c>
      <c r="S40" s="20">
        <f t="shared" si="9"/>
        <v>192.69963448435308</v>
      </c>
      <c r="T40" s="19">
        <f>IF(F40=1,가정!$C$16,가정!$C$40)</f>
        <v>29800</v>
      </c>
      <c r="U40" s="20">
        <f t="shared" si="10"/>
        <v>574.24491076337222</v>
      </c>
      <c r="V40" s="20">
        <f>U40/(1-가정!$C$41)*가정!$C$42</f>
        <v>604.46832711933916</v>
      </c>
      <c r="W40" s="19">
        <f>가정!$C$33+N40+K40</f>
        <v>818.77557837686288</v>
      </c>
      <c r="X40" s="19">
        <f t="shared" si="15"/>
        <v>1028.775578376863</v>
      </c>
      <c r="Y40" s="19">
        <f t="shared" si="11"/>
        <v>1847.551156753726</v>
      </c>
      <c r="Z40" s="20">
        <f t="shared" si="12"/>
        <v>177.4398107590728</v>
      </c>
    </row>
    <row r="41" spans="1:26" x14ac:dyDescent="0.3">
      <c r="A41" s="16">
        <v>38</v>
      </c>
      <c r="B41" s="16">
        <v>2030</v>
      </c>
      <c r="C41" s="16">
        <v>2</v>
      </c>
      <c r="D41" s="17">
        <f>가정!$F$6*MIN(1,MAX(0,(A41-가정!$C$28+1)/가정!$C$30))</f>
        <v>0.6875</v>
      </c>
      <c r="E41" s="17">
        <f>IF(가정!$F$7&lt;30000,1,0)*MIN(1,MAX(0,(A41-가정!$C$29+1)/가정!$C$30))</f>
        <v>0.66666666666666663</v>
      </c>
      <c r="F41" s="16">
        <f>IF(가정!$F$7&lt;30000,1,0)*IF(A41&gt;=가정!$C$29,1,0)</f>
        <v>1</v>
      </c>
      <c r="G41" s="17">
        <f>가정!$F$8*MIN(1,MAX(0,(A41-가정!$C$31+1)/가정!$C$32))</f>
        <v>1</v>
      </c>
      <c r="H41" s="18">
        <f>가정!$C$37+D41*가정!$C$14+E41*가정!$C$18</f>
        <v>-2.2916666666666667E-3</v>
      </c>
      <c r="I41" s="17">
        <f t="shared" si="13"/>
        <v>17.388851733504477</v>
      </c>
      <c r="J41" s="17">
        <f>I41*(1+G41*가정!$C$19)</f>
        <v>22.257730218885733</v>
      </c>
      <c r="K41" s="17">
        <f>I41*가정!$C$36*(1+G41*가정!$C$19*가정!$C$24)</f>
        <v>11.128865109442867</v>
      </c>
      <c r="L41" s="18">
        <f>가정!$C$38+D41*가정!$C$12+E41*가정!$C$17</f>
        <v>0.13739583333333333</v>
      </c>
      <c r="M41" s="18">
        <f>가정!$C$38+가정!$C$23*(L41-가정!$C$38)</f>
        <v>0.13739583333333333</v>
      </c>
      <c r="N41" s="19">
        <f t="shared" si="14"/>
        <v>412.77557837686288</v>
      </c>
      <c r="O41" s="20">
        <f>K41+가정!$C$33*M41+N41*L41</f>
        <v>123.62521801351392</v>
      </c>
      <c r="P41" s="21">
        <f>가정!$C$39*(1+D41*가정!$C$13)</f>
        <v>1.4662374999999999</v>
      </c>
      <c r="Q41" s="21">
        <f>1+F41*가정!$C$15</f>
        <v>1.0860000000000001</v>
      </c>
      <c r="R41" s="21">
        <f t="shared" si="8"/>
        <v>1.5923339249999999</v>
      </c>
      <c r="S41" s="20">
        <f t="shared" si="9"/>
        <v>196.85262862843931</v>
      </c>
      <c r="T41" s="19">
        <f>IF(F41=1,가정!$C$16,가정!$C$40)</f>
        <v>29800</v>
      </c>
      <c r="U41" s="20">
        <f t="shared" si="10"/>
        <v>586.62083331274914</v>
      </c>
      <c r="V41" s="20">
        <f>U41/(1-가정!$C$41)*가정!$C$42</f>
        <v>617.49561401342021</v>
      </c>
      <c r="W41" s="19">
        <f>가정!$C$33+N41+K41</f>
        <v>829.90444348630569</v>
      </c>
      <c r="X41" s="19">
        <f t="shared" si="15"/>
        <v>1039.9044434863058</v>
      </c>
      <c r="Y41" s="19">
        <f t="shared" si="11"/>
        <v>1869.8088869726116</v>
      </c>
      <c r="Z41" s="20">
        <f t="shared" si="12"/>
        <v>181.2639305970896</v>
      </c>
    </row>
    <row r="42" spans="1:26" x14ac:dyDescent="0.3">
      <c r="A42" s="16">
        <v>39</v>
      </c>
      <c r="B42" s="16">
        <v>2030</v>
      </c>
      <c r="C42" s="16">
        <v>3</v>
      </c>
      <c r="D42" s="17">
        <f>가정!$F$6*MIN(1,MAX(0,(A42-가정!$C$28+1)/가정!$C$30))</f>
        <v>0.70833333333333337</v>
      </c>
      <c r="E42" s="17">
        <f>IF(가정!$F$7&lt;30000,1,0)*MIN(1,MAX(0,(A42-가정!$C$29+1)/가정!$C$30))</f>
        <v>0.6875</v>
      </c>
      <c r="F42" s="16">
        <f>IF(가정!$F$7&lt;30000,1,0)*IF(A42&gt;=가정!$C$29,1,0)</f>
        <v>1</v>
      </c>
      <c r="G42" s="17">
        <f>가정!$F$8*MIN(1,MAX(0,(A42-가정!$C$31+1)/가정!$C$32))</f>
        <v>1</v>
      </c>
      <c r="H42" s="18">
        <f>가정!$C$37+D42*가정!$C$14+E42*가정!$C$18</f>
        <v>-2.2083333333333334E-3</v>
      </c>
      <c r="I42" s="17">
        <f t="shared" si="13"/>
        <v>17.350451352592987</v>
      </c>
      <c r="J42" s="17">
        <f>I42*(1+G42*가정!$C$19)</f>
        <v>22.208577731319025</v>
      </c>
      <c r="K42" s="17">
        <f>I42*가정!$C$36*(1+G42*가정!$C$19*가정!$C$24)</f>
        <v>11.104288865659512</v>
      </c>
      <c r="L42" s="18">
        <f>가정!$C$38+D42*가정!$C$12+E42*가정!$C$17</f>
        <v>0.13820833333333335</v>
      </c>
      <c r="M42" s="18">
        <f>가정!$C$38+가정!$C$23*(L42-가정!$C$38)</f>
        <v>0.13820833333333335</v>
      </c>
      <c r="N42" s="19">
        <f t="shared" si="14"/>
        <v>423.90444348630575</v>
      </c>
      <c r="O42" s="20">
        <f>K42+가정!$C$33*M42+N42*L42</f>
        <v>125.80399882582938</v>
      </c>
      <c r="P42" s="21">
        <f>가정!$C$39*(1+D42*가정!$C$13)</f>
        <v>1.4716083333333332</v>
      </c>
      <c r="Q42" s="21">
        <f>1+F42*가정!$C$15</f>
        <v>1.0860000000000001</v>
      </c>
      <c r="R42" s="21">
        <f t="shared" si="8"/>
        <v>1.59816665</v>
      </c>
      <c r="S42" s="20">
        <f t="shared" si="9"/>
        <v>201.05575536007967</v>
      </c>
      <c r="T42" s="19">
        <f>IF(F42=1,가정!$C$16,가정!$C$40)</f>
        <v>29800</v>
      </c>
      <c r="U42" s="20">
        <f t="shared" si="10"/>
        <v>599.14615097303749</v>
      </c>
      <c r="V42" s="20">
        <f>U42/(1-가정!$C$41)*가정!$C$42</f>
        <v>630.68015891898688</v>
      </c>
      <c r="W42" s="19">
        <f>가정!$C$33+N42+K42</f>
        <v>841.00873235196536</v>
      </c>
      <c r="X42" s="19">
        <f t="shared" si="15"/>
        <v>1051.0087323519654</v>
      </c>
      <c r="Y42" s="19">
        <f t="shared" si="11"/>
        <v>1892.0174647039307</v>
      </c>
      <c r="Z42" s="20">
        <f t="shared" si="12"/>
        <v>185.13421303874739</v>
      </c>
    </row>
    <row r="43" spans="1:26" x14ac:dyDescent="0.3">
      <c r="A43" s="16">
        <v>40</v>
      </c>
      <c r="B43" s="16">
        <v>2030</v>
      </c>
      <c r="C43" s="16">
        <v>4</v>
      </c>
      <c r="D43" s="17">
        <f>가정!$F$6*MIN(1,MAX(0,(A43-가정!$C$28+1)/가정!$C$30))</f>
        <v>0.72916666666666663</v>
      </c>
      <c r="E43" s="17">
        <f>IF(가정!$F$7&lt;30000,1,0)*MIN(1,MAX(0,(A43-가정!$C$29+1)/가정!$C$30))</f>
        <v>0.70833333333333337</v>
      </c>
      <c r="F43" s="16">
        <f>IF(가정!$F$7&lt;30000,1,0)*IF(A43&gt;=가정!$C$29,1,0)</f>
        <v>1</v>
      </c>
      <c r="G43" s="17">
        <f>가정!$F$8*MIN(1,MAX(0,(A43-가정!$C$31+1)/가정!$C$32))</f>
        <v>1</v>
      </c>
      <c r="H43" s="18">
        <f>가정!$C$37+D43*가정!$C$14+E43*가정!$C$18</f>
        <v>-2.1250000000000002E-3</v>
      </c>
      <c r="I43" s="17">
        <f t="shared" si="13"/>
        <v>17.313581643468726</v>
      </c>
      <c r="J43" s="17">
        <f>I43*(1+G43*가정!$C$19)</f>
        <v>22.161384503639969</v>
      </c>
      <c r="K43" s="17">
        <f>I43*가정!$C$36*(1+G43*가정!$C$19*가정!$C$24)</f>
        <v>11.080692251819984</v>
      </c>
      <c r="L43" s="18">
        <f>가정!$C$38+D43*가정!$C$12+E43*가정!$C$17</f>
        <v>0.13902083333333334</v>
      </c>
      <c r="M43" s="18">
        <f>가정!$C$38+가정!$C$23*(L43-가정!$C$38)</f>
        <v>0.13902083333333334</v>
      </c>
      <c r="N43" s="19">
        <f t="shared" si="14"/>
        <v>435.00873235196525</v>
      </c>
      <c r="O43" s="20">
        <f>K43+가정!$C$33*M43+N43*L43</f>
        <v>127.99842706400048</v>
      </c>
      <c r="P43" s="21">
        <f>가정!$C$39*(1+D43*가정!$C$13)</f>
        <v>1.4769791666666665</v>
      </c>
      <c r="Q43" s="21">
        <f>1+F43*가정!$C$15</f>
        <v>1.0860000000000001</v>
      </c>
      <c r="R43" s="21">
        <f t="shared" si="8"/>
        <v>1.6039993749999999</v>
      </c>
      <c r="S43" s="20">
        <f t="shared" si="9"/>
        <v>205.30939701163985</v>
      </c>
      <c r="T43" s="19">
        <f>IF(F43=1,가정!$C$16,가정!$C$40)</f>
        <v>29800</v>
      </c>
      <c r="U43" s="20">
        <f t="shared" si="10"/>
        <v>611.82200309468681</v>
      </c>
      <c r="V43" s="20">
        <f>U43/(1-가정!$C$41)*가정!$C$42</f>
        <v>644.0231611523019</v>
      </c>
      <c r="W43" s="19">
        <f>가정!$C$33+N43+K43</f>
        <v>852.08942460378523</v>
      </c>
      <c r="X43" s="19">
        <f t="shared" si="15"/>
        <v>1062.0894246037853</v>
      </c>
      <c r="Y43" s="19">
        <f t="shared" si="11"/>
        <v>1914.1788492075707</v>
      </c>
      <c r="Z43" s="20">
        <f t="shared" si="12"/>
        <v>189.05101013963153</v>
      </c>
    </row>
    <row r="44" spans="1:26" x14ac:dyDescent="0.3">
      <c r="A44" s="16">
        <v>41</v>
      </c>
      <c r="B44" s="16">
        <v>2030</v>
      </c>
      <c r="C44" s="16">
        <v>5</v>
      </c>
      <c r="D44" s="17">
        <f>가정!$F$6*MIN(1,MAX(0,(A44-가정!$C$28+1)/가정!$C$30))</f>
        <v>0.75</v>
      </c>
      <c r="E44" s="17">
        <f>IF(가정!$F$7&lt;30000,1,0)*MIN(1,MAX(0,(A44-가정!$C$29+1)/가정!$C$30))</f>
        <v>0.72916666666666663</v>
      </c>
      <c r="F44" s="16">
        <f>IF(가정!$F$7&lt;30000,1,0)*IF(A44&gt;=가정!$C$29,1,0)</f>
        <v>1</v>
      </c>
      <c r="G44" s="17">
        <f>가정!$F$8*MIN(1,MAX(0,(A44-가정!$C$31+1)/가정!$C$32))</f>
        <v>1</v>
      </c>
      <c r="H44" s="18">
        <f>가정!$C$37+D44*가정!$C$14+E44*가정!$C$18</f>
        <v>-2.0416666666666669E-3</v>
      </c>
      <c r="I44" s="17">
        <f t="shared" si="13"/>
        <v>17.278233080946645</v>
      </c>
      <c r="J44" s="17">
        <f>I44*(1+G44*가정!$C$19)</f>
        <v>22.116138343611706</v>
      </c>
      <c r="K44" s="17">
        <f>I44*가정!$C$36*(1+G44*가정!$C$19*가정!$C$24)</f>
        <v>11.058069171805853</v>
      </c>
      <c r="L44" s="18">
        <f>가정!$C$38+D44*가정!$C$12+E44*가정!$C$17</f>
        <v>0.13983333333333334</v>
      </c>
      <c r="M44" s="18">
        <f>가정!$C$38+가정!$C$23*(L44-가정!$C$38)</f>
        <v>0.13983333333333334</v>
      </c>
      <c r="N44" s="19">
        <f t="shared" si="14"/>
        <v>446.08942460378523</v>
      </c>
      <c r="O44" s="20">
        <f>K44+가정!$C$33*M44+N44*L44</f>
        <v>130.20857371223516</v>
      </c>
      <c r="P44" s="21">
        <f>가정!$C$39*(1+D44*가정!$C$13)</f>
        <v>1.4823499999999998</v>
      </c>
      <c r="Q44" s="21">
        <f>1+F44*가정!$C$15</f>
        <v>1.0860000000000001</v>
      </c>
      <c r="R44" s="21">
        <f t="shared" si="8"/>
        <v>1.6098321</v>
      </c>
      <c r="S44" s="20">
        <f t="shared" si="9"/>
        <v>209.61394165717232</v>
      </c>
      <c r="T44" s="19">
        <f>IF(F44=1,가정!$C$16,가정!$C$40)</f>
        <v>29800</v>
      </c>
      <c r="U44" s="20">
        <f t="shared" si="10"/>
        <v>624.64954613837347</v>
      </c>
      <c r="V44" s="20">
        <f>U44/(1-가정!$C$41)*가정!$C$42</f>
        <v>657.52583804039318</v>
      </c>
      <c r="W44" s="19">
        <f>가정!$C$33+N44+K44</f>
        <v>863.1474937755911</v>
      </c>
      <c r="X44" s="19">
        <f t="shared" si="15"/>
        <v>1073.1474937755913</v>
      </c>
      <c r="Y44" s="19">
        <f t="shared" si="11"/>
        <v>1936.2949875511824</v>
      </c>
      <c r="Z44" s="20">
        <f t="shared" si="12"/>
        <v>193.01467924233177</v>
      </c>
    </row>
    <row r="45" spans="1:26" x14ac:dyDescent="0.3">
      <c r="A45" s="16">
        <v>42</v>
      </c>
      <c r="B45" s="16">
        <v>2030</v>
      </c>
      <c r="C45" s="16">
        <v>6</v>
      </c>
      <c r="D45" s="17">
        <f>가정!$F$6*MIN(1,MAX(0,(A45-가정!$C$28+1)/가정!$C$30))</f>
        <v>0.77083333333333337</v>
      </c>
      <c r="E45" s="17">
        <f>IF(가정!$F$7&lt;30000,1,0)*MIN(1,MAX(0,(A45-가정!$C$29+1)/가정!$C$30))</f>
        <v>0.75</v>
      </c>
      <c r="F45" s="16">
        <f>IF(가정!$F$7&lt;30000,1,0)*IF(A45&gt;=가정!$C$29,1,0)</f>
        <v>1</v>
      </c>
      <c r="G45" s="17">
        <f>가정!$F$8*MIN(1,MAX(0,(A45-가정!$C$31+1)/가정!$C$32))</f>
        <v>1</v>
      </c>
      <c r="H45" s="18">
        <f>가정!$C$37+D45*가정!$C$14+E45*가정!$C$18</f>
        <v>-1.9583333333333332E-3</v>
      </c>
      <c r="I45" s="17">
        <f t="shared" si="13"/>
        <v>17.244396541163127</v>
      </c>
      <c r="J45" s="17">
        <f>I45*(1+G45*가정!$C$19)</f>
        <v>22.072827572688801</v>
      </c>
      <c r="K45" s="17">
        <f>I45*가정!$C$36*(1+G45*가정!$C$19*가정!$C$24)</f>
        <v>11.036413786344401</v>
      </c>
      <c r="L45" s="18">
        <f>가정!$C$38+D45*가정!$C$12+E45*가정!$C$17</f>
        <v>0.14064583333333336</v>
      </c>
      <c r="M45" s="18">
        <f>가정!$C$38+가정!$C$23*(L45-가정!$C$38)</f>
        <v>0.14064583333333336</v>
      </c>
      <c r="N45" s="19">
        <f t="shared" si="14"/>
        <v>457.1474937755911</v>
      </c>
      <c r="O45" s="20">
        <f>K45+가정!$C$33*M45+N45*L45</f>
        <v>132.43451233799058</v>
      </c>
      <c r="P45" s="21">
        <f>가정!$C$39*(1+D45*가정!$C$13)</f>
        <v>1.4877208333333334</v>
      </c>
      <c r="Q45" s="21">
        <f>1+F45*가정!$C$15</f>
        <v>1.0860000000000001</v>
      </c>
      <c r="R45" s="21">
        <f t="shared" si="8"/>
        <v>1.6156648250000001</v>
      </c>
      <c r="S45" s="20">
        <f t="shared" si="9"/>
        <v>213.96978320051991</v>
      </c>
      <c r="T45" s="19">
        <f>IF(F45=1,가정!$C$16,가정!$C$40)</f>
        <v>29800</v>
      </c>
      <c r="U45" s="20">
        <f t="shared" si="10"/>
        <v>637.62995393754932</v>
      </c>
      <c r="V45" s="20">
        <f>U45/(1-가정!$C$41)*가정!$C$42</f>
        <v>671.18942519742041</v>
      </c>
      <c r="W45" s="19">
        <f>가정!$C$33+N45+K45</f>
        <v>874.18390756193548</v>
      </c>
      <c r="X45" s="19">
        <f t="shared" si="15"/>
        <v>1084.1839075619357</v>
      </c>
      <c r="Y45" s="19">
        <f t="shared" si="11"/>
        <v>1958.3678151238712</v>
      </c>
      <c r="Z45" s="20">
        <f t="shared" si="12"/>
        <v>197.02558305756898</v>
      </c>
    </row>
    <row r="46" spans="1:26" x14ac:dyDescent="0.3">
      <c r="A46" s="16">
        <v>43</v>
      </c>
      <c r="B46" s="16">
        <v>2030</v>
      </c>
      <c r="C46" s="16">
        <v>7</v>
      </c>
      <c r="D46" s="17">
        <f>가정!$F$6*MIN(1,MAX(0,(A46-가정!$C$28+1)/가정!$C$30))</f>
        <v>0.79166666666666663</v>
      </c>
      <c r="E46" s="17">
        <f>IF(가정!$F$7&lt;30000,1,0)*MIN(1,MAX(0,(A46-가정!$C$29+1)/가정!$C$30))</f>
        <v>0.77083333333333337</v>
      </c>
      <c r="F46" s="16">
        <f>IF(가정!$F$7&lt;30000,1,0)*IF(A46&gt;=가정!$C$29,1,0)</f>
        <v>1</v>
      </c>
      <c r="G46" s="17">
        <f>가정!$F$8*MIN(1,MAX(0,(A46-가정!$C$31+1)/가정!$C$32))</f>
        <v>1</v>
      </c>
      <c r="H46" s="18">
        <f>가정!$C$37+D46*가정!$C$14+E46*가정!$C$18</f>
        <v>-1.8749999999999999E-3</v>
      </c>
      <c r="I46" s="17">
        <f t="shared" si="13"/>
        <v>17.212063297648445</v>
      </c>
      <c r="J46" s="17">
        <f>I46*(1+G46*가정!$C$19)</f>
        <v>22.031441020990009</v>
      </c>
      <c r="K46" s="17">
        <f>I46*가정!$C$36*(1+G46*가정!$C$19*가정!$C$24)</f>
        <v>11.015720510495004</v>
      </c>
      <c r="L46" s="18">
        <f>가정!$C$38+D46*가정!$C$12+E46*가정!$C$17</f>
        <v>0.14145833333333332</v>
      </c>
      <c r="M46" s="18">
        <f>가정!$C$38+가정!$C$23*(L46-가정!$C$38)</f>
        <v>0.14145833333333332</v>
      </c>
      <c r="N46" s="19">
        <f t="shared" si="14"/>
        <v>468.18390756193548</v>
      </c>
      <c r="O46" s="20">
        <f>K46+가정!$C$33*M46+N46*L46</f>
        <v>134.6763191010271</v>
      </c>
      <c r="P46" s="21">
        <f>가정!$C$39*(1+D46*가정!$C$13)</f>
        <v>1.4930916666666665</v>
      </c>
      <c r="Q46" s="21">
        <f>1+F46*가정!$C$15</f>
        <v>1.0860000000000001</v>
      </c>
      <c r="R46" s="21">
        <f t="shared" si="8"/>
        <v>1.62149755</v>
      </c>
      <c r="S46" s="20">
        <f t="shared" si="9"/>
        <v>218.37732146533364</v>
      </c>
      <c r="T46" s="19">
        <f>IF(F46=1,가정!$C$16,가정!$C$40)</f>
        <v>29800</v>
      </c>
      <c r="U46" s="20">
        <f t="shared" si="10"/>
        <v>650.76441796669417</v>
      </c>
      <c r="V46" s="20">
        <f>U46/(1-가정!$C$41)*가정!$C$42</f>
        <v>685.01517680704649</v>
      </c>
      <c r="W46" s="19">
        <f>가정!$C$33+N46+K46</f>
        <v>885.19962807243053</v>
      </c>
      <c r="X46" s="19">
        <f t="shared" si="15"/>
        <v>1095.1996280724309</v>
      </c>
      <c r="Y46" s="19">
        <f t="shared" si="11"/>
        <v>1980.3992561448613</v>
      </c>
      <c r="Z46" s="20">
        <f t="shared" si="12"/>
        <v>201.08408974708436</v>
      </c>
    </row>
    <row r="47" spans="1:26" x14ac:dyDescent="0.3">
      <c r="A47" s="16">
        <v>44</v>
      </c>
      <c r="B47" s="16">
        <v>2030</v>
      </c>
      <c r="C47" s="16">
        <v>8</v>
      </c>
      <c r="D47" s="17">
        <f>가정!$F$6*MIN(1,MAX(0,(A47-가정!$C$28+1)/가정!$C$30))</f>
        <v>0.8125</v>
      </c>
      <c r="E47" s="17">
        <f>IF(가정!$F$7&lt;30000,1,0)*MIN(1,MAX(0,(A47-가정!$C$29+1)/가정!$C$30))</f>
        <v>0.79166666666666663</v>
      </c>
      <c r="F47" s="16">
        <f>IF(가정!$F$7&lt;30000,1,0)*IF(A47&gt;=가정!$C$29,1,0)</f>
        <v>1</v>
      </c>
      <c r="G47" s="17">
        <f>가정!$F$8*MIN(1,MAX(0,(A47-가정!$C$31+1)/가정!$C$32))</f>
        <v>1</v>
      </c>
      <c r="H47" s="18">
        <f>가정!$C$37+D47*가정!$C$14+E47*가정!$C$18</f>
        <v>-1.7916666666666667E-3</v>
      </c>
      <c r="I47" s="17">
        <f t="shared" si="13"/>
        <v>17.181225017573492</v>
      </c>
      <c r="J47" s="17">
        <f>I47*(1+G47*가정!$C$19)</f>
        <v>21.991968022494071</v>
      </c>
      <c r="K47" s="17">
        <f>I47*가정!$C$36*(1+G47*가정!$C$19*가정!$C$24)</f>
        <v>10.995984011247035</v>
      </c>
      <c r="L47" s="18">
        <f>가정!$C$38+D47*가정!$C$12+E47*가정!$C$17</f>
        <v>0.14227083333333335</v>
      </c>
      <c r="M47" s="18">
        <f>가정!$C$38+가정!$C$23*(L47-가정!$C$38)</f>
        <v>0.14227083333333335</v>
      </c>
      <c r="N47" s="19">
        <f t="shared" si="14"/>
        <v>479.19962807243047</v>
      </c>
      <c r="O47" s="20">
        <f>K47+가정!$C$33*M47+N47*L47</f>
        <v>136.93407276346846</v>
      </c>
      <c r="P47" s="21">
        <f>가정!$C$39*(1+D47*가정!$C$13)</f>
        <v>1.4984625</v>
      </c>
      <c r="Q47" s="21">
        <f>1+F47*가정!$C$15</f>
        <v>1.0860000000000001</v>
      </c>
      <c r="R47" s="21">
        <f t="shared" si="8"/>
        <v>1.627330275</v>
      </c>
      <c r="S47" s="20">
        <f t="shared" si="9"/>
        <v>222.83696228704514</v>
      </c>
      <c r="T47" s="19">
        <f>IF(F47=1,가정!$C$16,가정!$C$40)</f>
        <v>29800</v>
      </c>
      <c r="U47" s="20">
        <f t="shared" si="10"/>
        <v>664.05414761539453</v>
      </c>
      <c r="V47" s="20">
        <f>U47/(1-가정!$C$41)*가정!$C$42</f>
        <v>699.0043659109416</v>
      </c>
      <c r="W47" s="19">
        <f>가정!$C$33+N47+K47</f>
        <v>896.19561208367747</v>
      </c>
      <c r="X47" s="19">
        <f t="shared" si="15"/>
        <v>1106.195612083678</v>
      </c>
      <c r="Y47" s="19">
        <f t="shared" si="11"/>
        <v>2002.3912241673556</v>
      </c>
      <c r="Z47" s="20">
        <f t="shared" si="12"/>
        <v>205.19057300832887</v>
      </c>
    </row>
    <row r="48" spans="1:26" x14ac:dyDescent="0.3">
      <c r="A48" s="16">
        <v>45</v>
      </c>
      <c r="B48" s="16">
        <v>2030</v>
      </c>
      <c r="C48" s="16">
        <v>9</v>
      </c>
      <c r="D48" s="17">
        <f>가정!$F$6*MIN(1,MAX(0,(A48-가정!$C$28+1)/가정!$C$30))</f>
        <v>0.83333333333333337</v>
      </c>
      <c r="E48" s="17">
        <f>IF(가정!$F$7&lt;30000,1,0)*MIN(1,MAX(0,(A48-가정!$C$29+1)/가정!$C$30))</f>
        <v>0.8125</v>
      </c>
      <c r="F48" s="16">
        <f>IF(가정!$F$7&lt;30000,1,0)*IF(A48&gt;=가정!$C$29,1,0)</f>
        <v>1</v>
      </c>
      <c r="G48" s="17">
        <f>가정!$F$8*MIN(1,MAX(0,(A48-가정!$C$31+1)/가정!$C$32))</f>
        <v>1</v>
      </c>
      <c r="H48" s="18">
        <f>가정!$C$37+D48*가정!$C$14+E48*가정!$C$18</f>
        <v>-1.708333333333333E-3</v>
      </c>
      <c r="I48" s="17">
        <f t="shared" si="13"/>
        <v>17.15187375816847</v>
      </c>
      <c r="J48" s="17">
        <f>I48*(1+G48*가정!$C$19)</f>
        <v>21.954398410455642</v>
      </c>
      <c r="K48" s="17">
        <f>I48*가정!$C$36*(1+G48*가정!$C$19*가정!$C$24)</f>
        <v>10.977199205227821</v>
      </c>
      <c r="L48" s="18">
        <f>가정!$C$38+D48*가정!$C$12+E48*가정!$C$17</f>
        <v>0.14308333333333334</v>
      </c>
      <c r="M48" s="18">
        <f>가정!$C$38+가정!$C$23*(L48-가정!$C$38)</f>
        <v>0.14308333333333334</v>
      </c>
      <c r="N48" s="19">
        <f t="shared" si="14"/>
        <v>490.19561208367753</v>
      </c>
      <c r="O48" s="20">
        <f>K48+가정!$C$33*M48+N48*L48</f>
        <v>139.20785470086736</v>
      </c>
      <c r="P48" s="21">
        <f>가정!$C$39*(1+D48*가정!$C$13)</f>
        <v>1.5038333333333334</v>
      </c>
      <c r="Q48" s="21">
        <f>1+F48*가정!$C$15</f>
        <v>1.0860000000000001</v>
      </c>
      <c r="R48" s="21">
        <f t="shared" si="8"/>
        <v>1.6331630000000001</v>
      </c>
      <c r="S48" s="20">
        <f t="shared" si="9"/>
        <v>227.34911760683266</v>
      </c>
      <c r="T48" s="19">
        <f>IF(F48=1,가정!$C$16,가정!$C$40)</f>
        <v>29800</v>
      </c>
      <c r="U48" s="20">
        <f t="shared" si="10"/>
        <v>677.50037046836133</v>
      </c>
      <c r="V48" s="20">
        <f>U48/(1-가정!$C$41)*가정!$C$42</f>
        <v>713.15828470353824</v>
      </c>
      <c r="W48" s="19">
        <f>가정!$C$33+N48+K48</f>
        <v>907.17281128890545</v>
      </c>
      <c r="X48" s="19">
        <f t="shared" si="15"/>
        <v>1117.1728112889059</v>
      </c>
      <c r="Y48" s="19">
        <f t="shared" si="11"/>
        <v>2024.3456225778114</v>
      </c>
      <c r="Z48" s="20">
        <f t="shared" si="12"/>
        <v>209.34541216098771</v>
      </c>
    </row>
    <row r="49" spans="1:26" x14ac:dyDescent="0.3">
      <c r="A49" s="16">
        <v>46</v>
      </c>
      <c r="B49" s="16">
        <v>2030</v>
      </c>
      <c r="C49" s="16">
        <v>10</v>
      </c>
      <c r="D49" s="17">
        <f>가정!$F$6*MIN(1,MAX(0,(A49-가정!$C$28+1)/가정!$C$30))</f>
        <v>0.85416666666666663</v>
      </c>
      <c r="E49" s="17">
        <f>IF(가정!$F$7&lt;30000,1,0)*MIN(1,MAX(0,(A49-가정!$C$29+1)/가정!$C$30))</f>
        <v>0.83333333333333337</v>
      </c>
      <c r="F49" s="16">
        <f>IF(가정!$F$7&lt;30000,1,0)*IF(A49&gt;=가정!$C$29,1,0)</f>
        <v>1</v>
      </c>
      <c r="G49" s="17">
        <f>가정!$F$8*MIN(1,MAX(0,(A49-가정!$C$31+1)/가정!$C$32))</f>
        <v>1</v>
      </c>
      <c r="H49" s="18">
        <f>가정!$C$37+D49*가정!$C$14+E49*가정!$C$18</f>
        <v>-1.6249999999999999E-3</v>
      </c>
      <c r="I49" s="17">
        <f t="shared" si="13"/>
        <v>17.124001963311446</v>
      </c>
      <c r="J49" s="17">
        <f>I49*(1+G49*가정!$C$19)</f>
        <v>21.918722513038652</v>
      </c>
      <c r="K49" s="17">
        <f>I49*가정!$C$36*(1+G49*가정!$C$19*가정!$C$24)</f>
        <v>10.959361256519326</v>
      </c>
      <c r="L49" s="18">
        <f>가정!$C$38+D49*가정!$C$12+E49*가정!$C$17</f>
        <v>0.14389583333333333</v>
      </c>
      <c r="M49" s="18">
        <f>가정!$C$38+가정!$C$23*(L49-가정!$C$38)</f>
        <v>0.14389583333333333</v>
      </c>
      <c r="N49" s="19">
        <f t="shared" si="14"/>
        <v>501.17281128890534</v>
      </c>
      <c r="O49" s="20">
        <f>K49+가정!$C$33*M49+N49*L49</f>
        <v>141.4977489142791</v>
      </c>
      <c r="P49" s="21">
        <f>가정!$C$39*(1+D49*가정!$C$13)</f>
        <v>1.5092041666666667</v>
      </c>
      <c r="Q49" s="21">
        <f>1+F49*가정!$C$15</f>
        <v>1.0860000000000001</v>
      </c>
      <c r="R49" s="21">
        <f t="shared" si="8"/>
        <v>1.6389957250000002</v>
      </c>
      <c r="S49" s="20">
        <f t="shared" si="9"/>
        <v>231.91420556762688</v>
      </c>
      <c r="T49" s="19">
        <f>IF(F49=1,가정!$C$16,가정!$C$40)</f>
        <v>29800</v>
      </c>
      <c r="U49" s="20">
        <f t="shared" si="10"/>
        <v>691.10433259152808</v>
      </c>
      <c r="V49" s="20">
        <f>U49/(1-가정!$C$41)*가정!$C$42</f>
        <v>727.47824483318743</v>
      </c>
      <c r="W49" s="19">
        <f>가정!$C$33+N49+K49</f>
        <v>918.13217254542462</v>
      </c>
      <c r="X49" s="19">
        <f t="shared" si="15"/>
        <v>1128.1321725454252</v>
      </c>
      <c r="Y49" s="19">
        <f t="shared" si="11"/>
        <v>2046.2643450908499</v>
      </c>
      <c r="Z49" s="20">
        <f t="shared" si="12"/>
        <v>213.54899223538382</v>
      </c>
    </row>
    <row r="50" spans="1:26" x14ac:dyDescent="0.3">
      <c r="A50" s="16">
        <v>47</v>
      </c>
      <c r="B50" s="16">
        <v>2030</v>
      </c>
      <c r="C50" s="16">
        <v>11</v>
      </c>
      <c r="D50" s="17">
        <f>가정!$F$6*MIN(1,MAX(0,(A50-가정!$C$28+1)/가정!$C$30))</f>
        <v>0.875</v>
      </c>
      <c r="E50" s="17">
        <f>IF(가정!$F$7&lt;30000,1,0)*MIN(1,MAX(0,(A50-가정!$C$29+1)/가정!$C$30))</f>
        <v>0.85416666666666663</v>
      </c>
      <c r="F50" s="16">
        <f>IF(가정!$F$7&lt;30000,1,0)*IF(A50&gt;=가정!$C$29,1,0)</f>
        <v>1</v>
      </c>
      <c r="G50" s="17">
        <f>가정!$F$8*MIN(1,MAX(0,(A50-가정!$C$31+1)/가정!$C$32))</f>
        <v>1</v>
      </c>
      <c r="H50" s="18">
        <f>가정!$C$37+D50*가정!$C$14+E50*가정!$C$18</f>
        <v>-1.5416666666666671E-3</v>
      </c>
      <c r="I50" s="17">
        <f t="shared" si="13"/>
        <v>17.097602460284676</v>
      </c>
      <c r="J50" s="17">
        <f>I50*(1+G50*가정!$C$19)</f>
        <v>21.884931149164387</v>
      </c>
      <c r="K50" s="17">
        <f>I50*가정!$C$36*(1+G50*가정!$C$19*가정!$C$24)</f>
        <v>10.942465574582194</v>
      </c>
      <c r="L50" s="18">
        <f>가정!$C$38+D50*가정!$C$12+E50*가정!$C$17</f>
        <v>0.14470833333333333</v>
      </c>
      <c r="M50" s="18">
        <f>가정!$C$38+가정!$C$23*(L50-가정!$C$38)</f>
        <v>0.14470833333333333</v>
      </c>
      <c r="N50" s="19">
        <f t="shared" si="14"/>
        <v>512.13217254542462</v>
      </c>
      <c r="O50" s="20">
        <f>K50+가정!$C$33*M50+N50*L50</f>
        <v>143.803842043343</v>
      </c>
      <c r="P50" s="21">
        <f>가정!$C$39*(1+D50*가정!$C$13)</f>
        <v>1.514575</v>
      </c>
      <c r="Q50" s="21">
        <f>1+F50*가정!$C$15</f>
        <v>1.0860000000000001</v>
      </c>
      <c r="R50" s="21">
        <f t="shared" si="8"/>
        <v>1.6448284500000001</v>
      </c>
      <c r="S50" s="20">
        <f t="shared" si="9"/>
        <v>236.5326506121967</v>
      </c>
      <c r="T50" s="19">
        <f>IF(F50=1,가정!$C$16,가정!$C$40)</f>
        <v>29800</v>
      </c>
      <c r="U50" s="20">
        <f t="shared" si="10"/>
        <v>704.86729882434611</v>
      </c>
      <c r="V50" s="20">
        <f>U50/(1-가정!$C$41)*가정!$C$42</f>
        <v>741.96557770983804</v>
      </c>
      <c r="W50" s="19">
        <f>가정!$C$33+N50+K50</f>
        <v>929.07463812000685</v>
      </c>
      <c r="X50" s="19">
        <f t="shared" si="15"/>
        <v>1139.0746381200074</v>
      </c>
      <c r="Y50" s="19">
        <f t="shared" si="11"/>
        <v>2068.1492762400144</v>
      </c>
      <c r="Z50" s="20">
        <f t="shared" si="12"/>
        <v>217.80170406279623</v>
      </c>
    </row>
    <row r="51" spans="1:26" x14ac:dyDescent="0.3">
      <c r="A51" s="22">
        <v>48</v>
      </c>
      <c r="B51" s="22">
        <v>2030</v>
      </c>
      <c r="C51" s="22">
        <v>12</v>
      </c>
      <c r="D51" s="23">
        <f>가정!$F$6*MIN(1,MAX(0,(A51-가정!$C$28+1)/가정!$C$30))</f>
        <v>0.89583333333333337</v>
      </c>
      <c r="E51" s="23">
        <f>IF(가정!$F$7&lt;30000,1,0)*MIN(1,MAX(0,(A51-가정!$C$29+1)/가정!$C$30))</f>
        <v>0.875</v>
      </c>
      <c r="F51" s="22">
        <f>IF(가정!$F$7&lt;30000,1,0)*IF(A51&gt;=가정!$C$29,1,0)</f>
        <v>1</v>
      </c>
      <c r="G51" s="23">
        <f>가정!$F$8*MIN(1,MAX(0,(A51-가정!$C$31+1)/가정!$C$32))</f>
        <v>1</v>
      </c>
      <c r="H51" s="24">
        <f>가정!$C$37+D51*가정!$C$14+E51*가정!$C$18</f>
        <v>-1.458333333333333E-3</v>
      </c>
      <c r="I51" s="23">
        <f t="shared" si="13"/>
        <v>17.072668456696761</v>
      </c>
      <c r="J51" s="23">
        <f>I51*(1+G51*가정!$C$19)</f>
        <v>21.853015624571853</v>
      </c>
      <c r="K51" s="23">
        <f>I51*가정!$C$36*(1+G51*가정!$C$19*가정!$C$24)</f>
        <v>10.926507812285926</v>
      </c>
      <c r="L51" s="24">
        <f>가정!$C$38+D51*가정!$C$12+E51*가정!$C$17</f>
        <v>0.14552083333333332</v>
      </c>
      <c r="M51" s="24">
        <f>가정!$C$38+가정!$C$23*(L51-가정!$C$38)</f>
        <v>0.14552083333333332</v>
      </c>
      <c r="N51" s="25">
        <f t="shared" si="14"/>
        <v>523.07463812000685</v>
      </c>
      <c r="O51" s="26">
        <f>K51+가정!$C$33*M51+N51*L51</f>
        <v>146.12622338037443</v>
      </c>
      <c r="P51" s="27">
        <f>가정!$C$39*(1+D51*가정!$C$13)</f>
        <v>1.5199458333333333</v>
      </c>
      <c r="Q51" s="27">
        <f>1+F51*가정!$C$15</f>
        <v>1.0860000000000001</v>
      </c>
      <c r="R51" s="27">
        <f t="shared" si="8"/>
        <v>1.6506611750000002</v>
      </c>
      <c r="S51" s="26">
        <f t="shared" si="9"/>
        <v>241.20488358336135</v>
      </c>
      <c r="T51" s="25">
        <f>IF(F51=1,가정!$C$16,가정!$C$40)</f>
        <v>29800</v>
      </c>
      <c r="U51" s="26">
        <f t="shared" si="10"/>
        <v>718.79055307841679</v>
      </c>
      <c r="V51" s="26">
        <f>U51/(1-가정!$C$41)*가정!$C$42</f>
        <v>756.62163481938614</v>
      </c>
      <c r="W51" s="25">
        <f>가정!$C$33+N51+K51</f>
        <v>940.00114593229273</v>
      </c>
      <c r="X51" s="25">
        <f t="shared" si="15"/>
        <v>1150.0011459322932</v>
      </c>
      <c r="Y51" s="25">
        <f t="shared" si="11"/>
        <v>2090.0022918645859</v>
      </c>
      <c r="Z51" s="26">
        <f t="shared" si="12"/>
        <v>222.10394436773603</v>
      </c>
    </row>
    <row r="52" spans="1:26" x14ac:dyDescent="0.3">
      <c r="A52" s="16">
        <v>49</v>
      </c>
      <c r="B52" s="16">
        <v>2031</v>
      </c>
      <c r="C52" s="16">
        <v>1</v>
      </c>
      <c r="D52" s="17">
        <f>가정!$F$6*MIN(1,MAX(0,(A52-가정!$C$28+1)/가정!$C$30))</f>
        <v>0.91666666666666663</v>
      </c>
      <c r="E52" s="17">
        <f>IF(가정!$F$7&lt;30000,1,0)*MIN(1,MAX(0,(A52-가정!$C$29+1)/가정!$C$30))</f>
        <v>0.89583333333333337</v>
      </c>
      <c r="F52" s="16">
        <f>IF(가정!$F$7&lt;30000,1,0)*IF(A52&gt;=가정!$C$29,1,0)</f>
        <v>1</v>
      </c>
      <c r="G52" s="17">
        <f>가정!$F$8*MIN(1,MAX(0,(A52-가정!$C$31+1)/가정!$C$32))</f>
        <v>1</v>
      </c>
      <c r="H52" s="18">
        <f>가정!$C$37+D52*가정!$C$14+E52*가정!$C$18</f>
        <v>-1.3749999999999997E-3</v>
      </c>
      <c r="I52" s="17">
        <f t="shared" si="13"/>
        <v>17.049193537568801</v>
      </c>
      <c r="J52" s="17">
        <f>I52*(1+G52*가정!$C$19)</f>
        <v>21.822967728088067</v>
      </c>
      <c r="K52" s="17">
        <f>I52*가정!$C$36*(1+G52*가정!$C$19*가정!$C$24)</f>
        <v>10.911483864044033</v>
      </c>
      <c r="L52" s="18">
        <f>가정!$C$38+D52*가정!$C$12+E52*가정!$C$17</f>
        <v>0.14633333333333334</v>
      </c>
      <c r="M52" s="18">
        <f>가정!$C$38+가정!$C$23*(L52-가정!$C$38)</f>
        <v>0.14633333333333334</v>
      </c>
      <c r="N52" s="19">
        <f t="shared" si="14"/>
        <v>534.00114593229273</v>
      </c>
      <c r="O52" s="20">
        <f>K52+가정!$C$33*M52+N52*L52</f>
        <v>148.46498488546956</v>
      </c>
      <c r="P52" s="21">
        <f>가정!$C$39*(1+D52*가정!$C$13)</f>
        <v>1.5253166666666667</v>
      </c>
      <c r="Q52" s="21">
        <f>1+F52*가정!$C$15</f>
        <v>1.0860000000000001</v>
      </c>
      <c r="R52" s="21">
        <f t="shared" si="8"/>
        <v>1.6564939000000001</v>
      </c>
      <c r="S52" s="20">
        <f t="shared" si="9"/>
        <v>245.93134182637255</v>
      </c>
      <c r="T52" s="19">
        <f>IF(F52=1,가정!$C$16,가정!$C$40)</f>
        <v>29800</v>
      </c>
      <c r="U52" s="20">
        <f t="shared" si="10"/>
        <v>732.8753986425902</v>
      </c>
      <c r="V52" s="20">
        <f>U52/(1-가정!$C$41)*가정!$C$42</f>
        <v>771.44778804483178</v>
      </c>
      <c r="W52" s="19">
        <f>가정!$C$33+N52+K52</f>
        <v>950.91262979633677</v>
      </c>
      <c r="X52" s="19">
        <f t="shared" si="15"/>
        <v>1160.9126297963373</v>
      </c>
      <c r="Y52" s="19">
        <f t="shared" si="11"/>
        <v>2111.8252595926742</v>
      </c>
      <c r="Z52" s="20">
        <f t="shared" si="12"/>
        <v>226.45611586222148</v>
      </c>
    </row>
    <row r="53" spans="1:26" x14ac:dyDescent="0.3">
      <c r="A53" s="16">
        <v>50</v>
      </c>
      <c r="B53" s="16">
        <v>2031</v>
      </c>
      <c r="C53" s="16">
        <v>2</v>
      </c>
      <c r="D53" s="17">
        <f>가정!$F$6*MIN(1,MAX(0,(A53-가정!$C$28+1)/가정!$C$30))</f>
        <v>0.9375</v>
      </c>
      <c r="E53" s="17">
        <f>IF(가정!$F$7&lt;30000,1,0)*MIN(1,MAX(0,(A53-가정!$C$29+1)/가정!$C$30))</f>
        <v>0.91666666666666663</v>
      </c>
      <c r="F53" s="16">
        <f>IF(가정!$F$7&lt;30000,1,0)*IF(A53&gt;=가정!$C$29,1,0)</f>
        <v>1</v>
      </c>
      <c r="G53" s="17">
        <f>가정!$F$8*MIN(1,MAX(0,(A53-가정!$C$31+1)/가정!$C$32))</f>
        <v>1</v>
      </c>
      <c r="H53" s="18">
        <f>가정!$C$37+D53*가정!$C$14+E53*가정!$C$18</f>
        <v>-1.2916666666666669E-3</v>
      </c>
      <c r="I53" s="17">
        <f t="shared" si="13"/>
        <v>17.027171662582774</v>
      </c>
      <c r="J53" s="17">
        <f>I53*(1+G53*가정!$C$19)</f>
        <v>21.794779728105951</v>
      </c>
      <c r="K53" s="17">
        <f>I53*가정!$C$36*(1+G53*가정!$C$19*가정!$C$24)</f>
        <v>10.897389864052975</v>
      </c>
      <c r="L53" s="18">
        <f>가정!$C$38+D53*가정!$C$12+E53*가정!$C$17</f>
        <v>0.14714583333333334</v>
      </c>
      <c r="M53" s="18">
        <f>가정!$C$38+가정!$C$23*(L53-가정!$C$38)</f>
        <v>0.14714583333333334</v>
      </c>
      <c r="N53" s="19">
        <f t="shared" si="14"/>
        <v>544.91262979633677</v>
      </c>
      <c r="O53" s="20">
        <f>K53+가정!$C$33*M53+N53*L53</f>
        <v>150.82022120262644</v>
      </c>
      <c r="P53" s="21">
        <f>가정!$C$39*(1+D53*가정!$C$13)</f>
        <v>1.5306875</v>
      </c>
      <c r="Q53" s="21">
        <f>1+F53*가정!$C$15</f>
        <v>1.0860000000000001</v>
      </c>
      <c r="R53" s="21">
        <f t="shared" si="8"/>
        <v>1.6623266250000002</v>
      </c>
      <c r="S53" s="20">
        <f t="shared" si="9"/>
        <v>250.71246929351548</v>
      </c>
      <c r="T53" s="19">
        <f>IF(F53=1,가정!$C$16,가정!$C$40)</f>
        <v>29800</v>
      </c>
      <c r="U53" s="20">
        <f t="shared" si="10"/>
        <v>747.1231584946762</v>
      </c>
      <c r="V53" s="20">
        <f>U53/(1-가정!$C$41)*가정!$C$42</f>
        <v>786.44542999439602</v>
      </c>
      <c r="W53" s="19">
        <f>가정!$C$33+N53+K53</f>
        <v>961.8100196603898</v>
      </c>
      <c r="X53" s="19">
        <f t="shared" si="15"/>
        <v>1171.8100196603905</v>
      </c>
      <c r="Y53" s="19">
        <f t="shared" si="11"/>
        <v>2133.6200393207801</v>
      </c>
      <c r="Z53" s="20">
        <f t="shared" si="12"/>
        <v>230.85862734209525</v>
      </c>
    </row>
    <row r="54" spans="1:26" x14ac:dyDescent="0.3">
      <c r="A54" s="16">
        <v>51</v>
      </c>
      <c r="B54" s="16">
        <v>2031</v>
      </c>
      <c r="C54" s="16">
        <v>3</v>
      </c>
      <c r="D54" s="17">
        <f>가정!$F$6*MIN(1,MAX(0,(A54-가정!$C$28+1)/가정!$C$30))</f>
        <v>0.95833333333333337</v>
      </c>
      <c r="E54" s="17">
        <f>IF(가정!$F$7&lt;30000,1,0)*MIN(1,MAX(0,(A54-가정!$C$29+1)/가정!$C$30))</f>
        <v>0.9375</v>
      </c>
      <c r="F54" s="16">
        <f>IF(가정!$F$7&lt;30000,1,0)*IF(A54&gt;=가정!$C$29,1,0)</f>
        <v>1</v>
      </c>
      <c r="G54" s="17">
        <f>가정!$F$8*MIN(1,MAX(0,(A54-가정!$C$31+1)/가정!$C$32))</f>
        <v>1</v>
      </c>
      <c r="H54" s="18">
        <f>가정!$C$37+D54*가정!$C$14+E54*가정!$C$18</f>
        <v>-1.2083333333333334E-3</v>
      </c>
      <c r="I54" s="17">
        <f t="shared" si="13"/>
        <v>17.006597163490486</v>
      </c>
      <c r="J54" s="17">
        <f>I54*(1+G54*가정!$C$19)</f>
        <v>21.768444369267822</v>
      </c>
      <c r="K54" s="17">
        <f>I54*가정!$C$36*(1+G54*가정!$C$19*가정!$C$24)</f>
        <v>10.884222184633911</v>
      </c>
      <c r="L54" s="18">
        <f>가정!$C$38+D54*가정!$C$12+E54*가정!$C$17</f>
        <v>0.14795833333333333</v>
      </c>
      <c r="M54" s="18">
        <f>가정!$C$38+가정!$C$23*(L54-가정!$C$38)</f>
        <v>0.14795833333333333</v>
      </c>
      <c r="N54" s="19">
        <f t="shared" si="14"/>
        <v>555.8100196603898</v>
      </c>
      <c r="O54" s="20">
        <f>K54+가정!$C$33*M54+N54*L54</f>
        <v>153.19202967688574</v>
      </c>
      <c r="P54" s="21">
        <f>가정!$C$39*(1+D54*가정!$C$13)</f>
        <v>1.5360583333333333</v>
      </c>
      <c r="Q54" s="21">
        <f>1+F54*가정!$C$15</f>
        <v>1.0860000000000001</v>
      </c>
      <c r="R54" s="21">
        <f t="shared" si="8"/>
        <v>1.66815935</v>
      </c>
      <c r="S54" s="20">
        <f t="shared" si="9"/>
        <v>255.54871665097443</v>
      </c>
      <c r="T54" s="19">
        <f>IF(F54=1,가정!$C$16,가정!$C$40)</f>
        <v>29800</v>
      </c>
      <c r="U54" s="20">
        <f t="shared" si="10"/>
        <v>761.53517561990373</v>
      </c>
      <c r="V54" s="20">
        <f>U54/(1-가정!$C$41)*가정!$C$42</f>
        <v>801.61597433674081</v>
      </c>
      <c r="W54" s="19">
        <f>가정!$C$33+N54+K54</f>
        <v>972.69424184502373</v>
      </c>
      <c r="X54" s="19">
        <f t="shared" si="15"/>
        <v>1182.6942418450244</v>
      </c>
      <c r="Y54" s="19">
        <f t="shared" si="11"/>
        <v>2155.3884836900479</v>
      </c>
      <c r="Z54" s="20">
        <f t="shared" si="12"/>
        <v>235.31189378542763</v>
      </c>
    </row>
    <row r="55" spans="1:26" x14ac:dyDescent="0.3">
      <c r="A55" s="16">
        <v>52</v>
      </c>
      <c r="B55" s="16">
        <v>2031</v>
      </c>
      <c r="C55" s="16">
        <v>4</v>
      </c>
      <c r="D55" s="17">
        <f>가정!$F$6*MIN(1,MAX(0,(A55-가정!$C$28+1)/가정!$C$30))</f>
        <v>0.97916666666666663</v>
      </c>
      <c r="E55" s="17">
        <f>IF(가정!$F$7&lt;30000,1,0)*MIN(1,MAX(0,(A55-가정!$C$29+1)/가정!$C$30))</f>
        <v>0.95833333333333337</v>
      </c>
      <c r="F55" s="16">
        <f>IF(가정!$F$7&lt;30000,1,0)*IF(A55&gt;=가정!$C$29,1,0)</f>
        <v>1</v>
      </c>
      <c r="G55" s="17">
        <f>가정!$F$8*MIN(1,MAX(0,(A55-가정!$C$31+1)/가정!$C$32))</f>
        <v>1</v>
      </c>
      <c r="H55" s="18">
        <f>가정!$C$37+D55*가정!$C$14+E55*가정!$C$18</f>
        <v>-1.1250000000000001E-3</v>
      </c>
      <c r="I55" s="17">
        <f t="shared" si="13"/>
        <v>16.98746474168156</v>
      </c>
      <c r="J55" s="17">
        <f>I55*(1+G55*가정!$C$19)</f>
        <v>21.743954869352397</v>
      </c>
      <c r="K55" s="17">
        <f>I55*가정!$C$36*(1+G55*가정!$C$19*가정!$C$24)</f>
        <v>10.871977434676198</v>
      </c>
      <c r="L55" s="18">
        <f>가정!$C$38+D55*가정!$C$12+E55*가정!$C$17</f>
        <v>0.14877083333333332</v>
      </c>
      <c r="M55" s="18">
        <f>가정!$C$38+가정!$C$23*(L55-가정!$C$38)</f>
        <v>0.14877083333333332</v>
      </c>
      <c r="N55" s="19">
        <f t="shared" si="14"/>
        <v>566.69424184502373</v>
      </c>
      <c r="O55" s="20">
        <f>K55+가정!$C$33*M55+N55*L55</f>
        <v>155.58051037249524</v>
      </c>
      <c r="P55" s="21">
        <f>가정!$C$39*(1+D55*가정!$C$13)</f>
        <v>1.5414291666666666</v>
      </c>
      <c r="Q55" s="21">
        <f>1+F55*가정!$C$15</f>
        <v>1.0860000000000001</v>
      </c>
      <c r="R55" s="21">
        <f t="shared" si="8"/>
        <v>1.6739920750000001</v>
      </c>
      <c r="S55" s="20">
        <f t="shared" si="9"/>
        <v>260.44054138801238</v>
      </c>
      <c r="T55" s="19">
        <f>IF(F55=1,가정!$C$16,가정!$C$40)</f>
        <v>29800</v>
      </c>
      <c r="U55" s="20">
        <f t="shared" si="10"/>
        <v>776.11281333627687</v>
      </c>
      <c r="V55" s="20">
        <f>U55/(1-가정!$C$41)*가정!$C$42</f>
        <v>816.9608561434494</v>
      </c>
      <c r="W55" s="19">
        <f>가정!$C$33+N55+K55</f>
        <v>983.56621927969991</v>
      </c>
      <c r="X55" s="19">
        <f t="shared" si="15"/>
        <v>1193.5662192797006</v>
      </c>
      <c r="Y55" s="19">
        <f t="shared" si="11"/>
        <v>2177.1324385594007</v>
      </c>
      <c r="Z55" s="20">
        <f t="shared" si="12"/>
        <v>239.81633645305001</v>
      </c>
    </row>
    <row r="56" spans="1:26" x14ac:dyDescent="0.3">
      <c r="A56" s="16">
        <v>53</v>
      </c>
      <c r="B56" s="16">
        <v>2031</v>
      </c>
      <c r="C56" s="16">
        <v>5</v>
      </c>
      <c r="D56" s="17">
        <f>가정!$F$6*MIN(1,MAX(0,(A56-가정!$C$28+1)/가정!$C$30))</f>
        <v>1</v>
      </c>
      <c r="E56" s="17">
        <f>IF(가정!$F$7&lt;30000,1,0)*MIN(1,MAX(0,(A56-가정!$C$29+1)/가정!$C$30))</f>
        <v>0.97916666666666663</v>
      </c>
      <c r="F56" s="16">
        <f>IF(가정!$F$7&lt;30000,1,0)*IF(A56&gt;=가정!$C$29,1,0)</f>
        <v>1</v>
      </c>
      <c r="G56" s="17">
        <f>가정!$F$8*MIN(1,MAX(0,(A56-가정!$C$31+1)/가정!$C$32))</f>
        <v>1</v>
      </c>
      <c r="H56" s="18">
        <f>가정!$C$37+D56*가정!$C$14+E56*가정!$C$18</f>
        <v>-1.0416666666666669E-3</v>
      </c>
      <c r="I56" s="17">
        <f t="shared" si="13"/>
        <v>16.969769465908975</v>
      </c>
      <c r="J56" s="17">
        <f>I56*(1+G56*가정!$C$19)</f>
        <v>21.72130491636349</v>
      </c>
      <c r="K56" s="17">
        <f>I56*가정!$C$36*(1+G56*가정!$C$19*가정!$C$24)</f>
        <v>10.860652458181745</v>
      </c>
      <c r="L56" s="18">
        <f>가정!$C$38+D56*가정!$C$12+E56*가정!$C$17</f>
        <v>0.14958333333333335</v>
      </c>
      <c r="M56" s="18">
        <f>가정!$C$38+가정!$C$23*(L56-가정!$C$38)</f>
        <v>0.14958333333333335</v>
      </c>
      <c r="N56" s="19">
        <f t="shared" si="14"/>
        <v>577.56621927969991</v>
      </c>
      <c r="O56" s="20">
        <f>K56+가정!$C$33*M56+N56*L56</f>
        <v>157.98576609210352</v>
      </c>
      <c r="P56" s="21">
        <f>가정!$C$39*(1+D56*가정!$C$13)</f>
        <v>1.5468</v>
      </c>
      <c r="Q56" s="21">
        <f>1+F56*가정!$C$15</f>
        <v>1.0860000000000001</v>
      </c>
      <c r="R56" s="21">
        <f t="shared" si="8"/>
        <v>1.6798248</v>
      </c>
      <c r="S56" s="20">
        <f t="shared" si="9"/>
        <v>265.3884079285146</v>
      </c>
      <c r="T56" s="19">
        <f>IF(F56=1,가정!$C$16,가정!$C$40)</f>
        <v>29800</v>
      </c>
      <c r="U56" s="20">
        <f t="shared" si="10"/>
        <v>790.85745562697355</v>
      </c>
      <c r="V56" s="20">
        <f>U56/(1-가정!$C$41)*가정!$C$42</f>
        <v>832.48153223891961</v>
      </c>
      <c r="W56" s="19">
        <f>가정!$C$33+N56+K56</f>
        <v>994.4268717378817</v>
      </c>
      <c r="X56" s="19">
        <f t="shared" si="15"/>
        <v>1204.4268717378825</v>
      </c>
      <c r="Y56" s="19">
        <f t="shared" si="11"/>
        <v>2198.8537434757641</v>
      </c>
      <c r="Z56" s="20">
        <f t="shared" si="12"/>
        <v>244.37238299126571</v>
      </c>
    </row>
    <row r="57" spans="1:26" x14ac:dyDescent="0.3">
      <c r="A57" s="16">
        <v>54</v>
      </c>
      <c r="B57" s="16">
        <v>2031</v>
      </c>
      <c r="C57" s="16">
        <v>6</v>
      </c>
      <c r="D57" s="17">
        <f>가정!$F$6*MIN(1,MAX(0,(A57-가정!$C$28+1)/가정!$C$30))</f>
        <v>1</v>
      </c>
      <c r="E57" s="17">
        <f>IF(가정!$F$7&lt;30000,1,0)*MIN(1,MAX(0,(A57-가정!$C$29+1)/가정!$C$30))</f>
        <v>1</v>
      </c>
      <c r="F57" s="16">
        <f>IF(가정!$F$7&lt;30000,1,0)*IF(A57&gt;=가정!$C$29,1,0)</f>
        <v>1</v>
      </c>
      <c r="G57" s="17">
        <f>가정!$F$8*MIN(1,MAX(0,(A57-가정!$C$31+1)/가정!$C$32))</f>
        <v>1</v>
      </c>
      <c r="H57" s="18">
        <f>가정!$C$37+D57*가정!$C$14+E57*가정!$C$18</f>
        <v>-1E-3</v>
      </c>
      <c r="I57" s="17">
        <f t="shared" si="13"/>
        <v>16.952799696443066</v>
      </c>
      <c r="J57" s="17">
        <f>I57*(1+G57*가정!$C$19)</f>
        <v>21.699583611447125</v>
      </c>
      <c r="K57" s="17">
        <f>I57*가정!$C$36*(1+G57*가정!$C$19*가정!$C$24)</f>
        <v>10.849791805723562</v>
      </c>
      <c r="L57" s="18">
        <f>가정!$C$38+D57*가정!$C$12+E57*가정!$C$17</f>
        <v>0.15</v>
      </c>
      <c r="M57" s="18">
        <f>가정!$C$38+가정!$C$23*(L57-가정!$C$38)</f>
        <v>0.15</v>
      </c>
      <c r="N57" s="19">
        <f t="shared" si="14"/>
        <v>588.4268717378817</v>
      </c>
      <c r="O57" s="20">
        <f>K57+가정!$C$33*M57+N57*L57</f>
        <v>160.01382256640579</v>
      </c>
      <c r="P57" s="21">
        <f>가정!$C$39*(1+D57*가정!$C$13)</f>
        <v>1.5468</v>
      </c>
      <c r="Q57" s="21">
        <f>1+F57*가정!$C$15</f>
        <v>1.0860000000000001</v>
      </c>
      <c r="R57" s="21">
        <f t="shared" si="8"/>
        <v>1.6798248</v>
      </c>
      <c r="S57" s="20">
        <f t="shared" si="9"/>
        <v>268.7951874898481</v>
      </c>
      <c r="T57" s="19">
        <f>IF(F57=1,가정!$C$16,가정!$C$40)</f>
        <v>29800</v>
      </c>
      <c r="U57" s="20">
        <f t="shared" si="10"/>
        <v>801.00965871974734</v>
      </c>
      <c r="V57" s="20">
        <f>U57/(1-가정!$C$41)*가정!$C$42</f>
        <v>843.16806181026038</v>
      </c>
      <c r="W57" s="19">
        <f>가정!$C$33+N57+K57</f>
        <v>1005.2766635436053</v>
      </c>
      <c r="X57" s="19">
        <f t="shared" si="15"/>
        <v>1215.2766635436062</v>
      </c>
      <c r="Y57" s="19">
        <f t="shared" si="11"/>
        <v>2220.5533270872115</v>
      </c>
      <c r="Z57" s="20">
        <f t="shared" si="12"/>
        <v>247.50938074571647</v>
      </c>
    </row>
    <row r="58" spans="1:26" x14ac:dyDescent="0.3">
      <c r="A58" s="16">
        <v>55</v>
      </c>
      <c r="B58" s="16">
        <v>2031</v>
      </c>
      <c r="C58" s="16">
        <v>7</v>
      </c>
      <c r="D58" s="17">
        <f>가정!$F$6*MIN(1,MAX(0,(A58-가정!$C$28+1)/가정!$C$30))</f>
        <v>1</v>
      </c>
      <c r="E58" s="17">
        <f>IF(가정!$F$7&lt;30000,1,0)*MIN(1,MAX(0,(A58-가정!$C$29+1)/가정!$C$30))</f>
        <v>1</v>
      </c>
      <c r="F58" s="16">
        <f>IF(가정!$F$7&lt;30000,1,0)*IF(A58&gt;=가정!$C$29,1,0)</f>
        <v>1</v>
      </c>
      <c r="G58" s="17">
        <f>가정!$F$8*MIN(1,MAX(0,(A58-가정!$C$31+1)/가정!$C$32))</f>
        <v>1</v>
      </c>
      <c r="H58" s="18">
        <f>가정!$C$37+D58*가정!$C$14+E58*가정!$C$18</f>
        <v>-1E-3</v>
      </c>
      <c r="I58" s="17">
        <f t="shared" si="13"/>
        <v>16.935846896746622</v>
      </c>
      <c r="J58" s="17">
        <f>I58*(1+G58*가정!$C$19)</f>
        <v>21.677884027835677</v>
      </c>
      <c r="K58" s="17">
        <f>I58*가정!$C$36*(1+G58*가정!$C$19*가정!$C$24)</f>
        <v>10.838942013917839</v>
      </c>
      <c r="L58" s="18">
        <f>가정!$C$38+D58*가정!$C$12+E58*가정!$C$17</f>
        <v>0.15</v>
      </c>
      <c r="M58" s="18">
        <f>가정!$C$38+가정!$C$23*(L58-가정!$C$38)</f>
        <v>0.15</v>
      </c>
      <c r="N58" s="19">
        <f t="shared" si="14"/>
        <v>599.27666354360531</v>
      </c>
      <c r="O58" s="20">
        <f>K58+가정!$C$33*M58+N58*L58</f>
        <v>161.63044154545861</v>
      </c>
      <c r="P58" s="21">
        <f>가정!$C$39*(1+D58*가정!$C$13)</f>
        <v>1.5468</v>
      </c>
      <c r="Q58" s="21">
        <f>1+F58*가정!$C$15</f>
        <v>1.0860000000000001</v>
      </c>
      <c r="R58" s="21">
        <f t="shared" si="8"/>
        <v>1.6798248</v>
      </c>
      <c r="S58" s="20">
        <f t="shared" si="9"/>
        <v>271.51082414301169</v>
      </c>
      <c r="T58" s="19">
        <f>IF(F58=1,가정!$C$16,가정!$C$40)</f>
        <v>29800</v>
      </c>
      <c r="U58" s="20">
        <f t="shared" si="10"/>
        <v>809.10225594617486</v>
      </c>
      <c r="V58" s="20">
        <f>U58/(1-가정!$C$41)*가정!$C$42</f>
        <v>851.6865852064999</v>
      </c>
      <c r="W58" s="19">
        <f>가정!$C$33+N58+K58</f>
        <v>1016.1156055575232</v>
      </c>
      <c r="X58" s="19">
        <f t="shared" si="15"/>
        <v>1226.1156055575241</v>
      </c>
      <c r="Y58" s="19">
        <f t="shared" si="11"/>
        <v>2242.2312111150472</v>
      </c>
      <c r="Z58" s="20">
        <f t="shared" si="12"/>
        <v>250.00996698251538</v>
      </c>
    </row>
    <row r="59" spans="1:26" x14ac:dyDescent="0.3">
      <c r="A59" s="16">
        <v>56</v>
      </c>
      <c r="B59" s="16">
        <v>2031</v>
      </c>
      <c r="C59" s="16">
        <v>8</v>
      </c>
      <c r="D59" s="17">
        <f>가정!$F$6*MIN(1,MAX(0,(A59-가정!$C$28+1)/가정!$C$30))</f>
        <v>1</v>
      </c>
      <c r="E59" s="17">
        <f>IF(가정!$F$7&lt;30000,1,0)*MIN(1,MAX(0,(A59-가정!$C$29+1)/가정!$C$30))</f>
        <v>1</v>
      </c>
      <c r="F59" s="16">
        <f>IF(가정!$F$7&lt;30000,1,0)*IF(A59&gt;=가정!$C$29,1,0)</f>
        <v>1</v>
      </c>
      <c r="G59" s="17">
        <f>가정!$F$8*MIN(1,MAX(0,(A59-가정!$C$31+1)/가정!$C$32))</f>
        <v>1</v>
      </c>
      <c r="H59" s="18">
        <f>가정!$C$37+D59*가정!$C$14+E59*가정!$C$18</f>
        <v>-1E-3</v>
      </c>
      <c r="I59" s="17">
        <f t="shared" si="13"/>
        <v>16.918911049849875</v>
      </c>
      <c r="J59" s="17">
        <f>I59*(1+G59*가정!$C$19)</f>
        <v>21.656206143807839</v>
      </c>
      <c r="K59" s="17">
        <f>I59*가정!$C$36*(1+G59*가정!$C$19*가정!$C$24)</f>
        <v>10.82810307190392</v>
      </c>
      <c r="L59" s="18">
        <f>가정!$C$38+D59*가정!$C$12+E59*가정!$C$17</f>
        <v>0.15</v>
      </c>
      <c r="M59" s="18">
        <f>가정!$C$38+가정!$C$23*(L59-가정!$C$38)</f>
        <v>0.15</v>
      </c>
      <c r="N59" s="19">
        <f t="shared" si="14"/>
        <v>610.11560555752317</v>
      </c>
      <c r="O59" s="20">
        <f>K59+가정!$C$33*M59+N59*L59</f>
        <v>163.2454439055324</v>
      </c>
      <c r="P59" s="21">
        <f>가정!$C$39*(1+D59*가정!$C$13)</f>
        <v>1.5468</v>
      </c>
      <c r="Q59" s="21">
        <f>1+F59*가정!$C$15</f>
        <v>1.0860000000000001</v>
      </c>
      <c r="R59" s="21">
        <f t="shared" si="8"/>
        <v>1.6798248</v>
      </c>
      <c r="S59" s="20">
        <f t="shared" si="9"/>
        <v>274.2237451595222</v>
      </c>
      <c r="T59" s="19">
        <f>IF(F59=1,가정!$C$16,가정!$C$40)</f>
        <v>29800</v>
      </c>
      <c r="U59" s="20">
        <f t="shared" si="10"/>
        <v>817.18676057537618</v>
      </c>
      <c r="V59" s="20">
        <f>U59/(1-가정!$C$41)*가정!$C$42</f>
        <v>860.19659007934342</v>
      </c>
      <c r="W59" s="19">
        <f>가정!$C$33+N59+K59</f>
        <v>1026.9437086294272</v>
      </c>
      <c r="X59" s="19">
        <f t="shared" si="15"/>
        <v>1236.9437086294279</v>
      </c>
      <c r="Y59" s="19">
        <f t="shared" si="11"/>
        <v>2263.8874172588548</v>
      </c>
      <c r="Z59" s="20">
        <f t="shared" si="12"/>
        <v>252.50805263307751</v>
      </c>
    </row>
    <row r="60" spans="1:26" x14ac:dyDescent="0.3">
      <c r="A60" s="16">
        <v>57</v>
      </c>
      <c r="B60" s="16">
        <v>2031</v>
      </c>
      <c r="C60" s="16">
        <v>9</v>
      </c>
      <c r="D60" s="17">
        <f>가정!$F$6*MIN(1,MAX(0,(A60-가정!$C$28+1)/가정!$C$30))</f>
        <v>1</v>
      </c>
      <c r="E60" s="17">
        <f>IF(가정!$F$7&lt;30000,1,0)*MIN(1,MAX(0,(A60-가정!$C$29+1)/가정!$C$30))</f>
        <v>1</v>
      </c>
      <c r="F60" s="16">
        <f>IF(가정!$F$7&lt;30000,1,0)*IF(A60&gt;=가정!$C$29,1,0)</f>
        <v>1</v>
      </c>
      <c r="G60" s="17">
        <f>가정!$F$8*MIN(1,MAX(0,(A60-가정!$C$31+1)/가정!$C$32))</f>
        <v>1</v>
      </c>
      <c r="H60" s="18">
        <f>가정!$C$37+D60*가정!$C$14+E60*가정!$C$18</f>
        <v>-1E-3</v>
      </c>
      <c r="I60" s="17">
        <f t="shared" si="13"/>
        <v>16.901992138800026</v>
      </c>
      <c r="J60" s="17">
        <f>I60*(1+G60*가정!$C$19)</f>
        <v>21.634549937664033</v>
      </c>
      <c r="K60" s="17">
        <f>I60*가정!$C$36*(1+G60*가정!$C$19*가정!$C$24)</f>
        <v>10.817274968832017</v>
      </c>
      <c r="L60" s="18">
        <f>가정!$C$38+D60*가정!$C$12+E60*가정!$C$17</f>
        <v>0.15</v>
      </c>
      <c r="M60" s="18">
        <f>가정!$C$38+가정!$C$23*(L60-가정!$C$38)</f>
        <v>0.15</v>
      </c>
      <c r="N60" s="19">
        <f t="shared" si="14"/>
        <v>620.94370862942708</v>
      </c>
      <c r="O60" s="20">
        <f>K60+가정!$C$33*M60+N60*L60</f>
        <v>164.85883126324609</v>
      </c>
      <c r="P60" s="21">
        <f>가정!$C$39*(1+D60*가정!$C$13)</f>
        <v>1.5468</v>
      </c>
      <c r="Q60" s="21">
        <f>1+F60*가정!$C$15</f>
        <v>1.0860000000000001</v>
      </c>
      <c r="R60" s="21">
        <f t="shared" si="8"/>
        <v>1.6798248</v>
      </c>
      <c r="S60" s="20">
        <f t="shared" si="9"/>
        <v>276.93395325501609</v>
      </c>
      <c r="T60" s="19">
        <f>IF(F60=1,가정!$C$16,가정!$C$40)</f>
        <v>29800</v>
      </c>
      <c r="U60" s="20">
        <f t="shared" si="10"/>
        <v>825.26318069994795</v>
      </c>
      <c r="V60" s="20">
        <f>U60/(1-가정!$C$41)*가정!$C$42</f>
        <v>868.69808494731365</v>
      </c>
      <c r="W60" s="19">
        <f>가정!$C$33+N60+K60</f>
        <v>1037.7609835982589</v>
      </c>
      <c r="X60" s="19">
        <f t="shared" si="15"/>
        <v>1247.7609835982601</v>
      </c>
      <c r="Y60" s="19">
        <f t="shared" si="11"/>
        <v>2285.5219671965187</v>
      </c>
      <c r="Z60" s="20">
        <f t="shared" si="12"/>
        <v>255.00364019798903</v>
      </c>
    </row>
    <row r="61" spans="1:26" x14ac:dyDescent="0.3">
      <c r="A61" s="16">
        <v>58</v>
      </c>
      <c r="B61" s="16">
        <v>2031</v>
      </c>
      <c r="C61" s="16">
        <v>10</v>
      </c>
      <c r="D61" s="17">
        <f>가정!$F$6*MIN(1,MAX(0,(A61-가정!$C$28+1)/가정!$C$30))</f>
        <v>1</v>
      </c>
      <c r="E61" s="17">
        <f>IF(가정!$F$7&lt;30000,1,0)*MIN(1,MAX(0,(A61-가정!$C$29+1)/가정!$C$30))</f>
        <v>1</v>
      </c>
      <c r="F61" s="16">
        <f>IF(가정!$F$7&lt;30000,1,0)*IF(A61&gt;=가정!$C$29,1,0)</f>
        <v>1</v>
      </c>
      <c r="G61" s="17">
        <f>가정!$F$8*MIN(1,MAX(0,(A61-가정!$C$31+1)/가정!$C$32))</f>
        <v>1</v>
      </c>
      <c r="H61" s="18">
        <f>가정!$C$37+D61*가정!$C$14+E61*가정!$C$18</f>
        <v>-1E-3</v>
      </c>
      <c r="I61" s="17">
        <f t="shared" si="13"/>
        <v>16.885090146661227</v>
      </c>
      <c r="J61" s="17">
        <f>I61*(1+G61*가정!$C$19)</f>
        <v>21.612915387726371</v>
      </c>
      <c r="K61" s="17">
        <f>I61*가정!$C$36*(1+G61*가정!$C$19*가정!$C$24)</f>
        <v>10.806457693863186</v>
      </c>
      <c r="L61" s="18">
        <f>가정!$C$38+D61*가정!$C$12+E61*가정!$C$17</f>
        <v>0.15</v>
      </c>
      <c r="M61" s="18">
        <f>가정!$C$38+가정!$C$23*(L61-가정!$C$38)</f>
        <v>0.15</v>
      </c>
      <c r="N61" s="19">
        <f t="shared" si="14"/>
        <v>631.76098359825914</v>
      </c>
      <c r="O61" s="20">
        <f>K61+가정!$C$33*M61+N61*L61</f>
        <v>166.47060523360204</v>
      </c>
      <c r="P61" s="21">
        <f>가정!$C$39*(1+D61*가정!$C$13)</f>
        <v>1.5468</v>
      </c>
      <c r="Q61" s="21">
        <f>1+F61*가정!$C$15</f>
        <v>1.0860000000000001</v>
      </c>
      <c r="R61" s="21">
        <f t="shared" si="8"/>
        <v>1.6798248</v>
      </c>
      <c r="S61" s="20">
        <f t="shared" si="9"/>
        <v>279.6414511424145</v>
      </c>
      <c r="T61" s="19">
        <f>IF(F61=1,가정!$C$16,가정!$C$40)</f>
        <v>29800</v>
      </c>
      <c r="U61" s="20">
        <f t="shared" si="10"/>
        <v>833.33152440439517</v>
      </c>
      <c r="V61" s="20">
        <f>U61/(1-가정!$C$41)*가정!$C$42</f>
        <v>877.19107832041595</v>
      </c>
      <c r="W61" s="19">
        <f>가정!$C$33+N61+K61</f>
        <v>1048.5674412921223</v>
      </c>
      <c r="X61" s="19">
        <f t="shared" si="15"/>
        <v>1258.5674412921232</v>
      </c>
      <c r="Y61" s="19">
        <f t="shared" si="11"/>
        <v>2307.1348825842456</v>
      </c>
      <c r="Z61" s="20">
        <f t="shared" si="12"/>
        <v>257.49673217533564</v>
      </c>
    </row>
    <row r="62" spans="1:26" x14ac:dyDescent="0.3">
      <c r="A62" s="16">
        <v>59</v>
      </c>
      <c r="B62" s="16">
        <v>2031</v>
      </c>
      <c r="C62" s="16">
        <v>11</v>
      </c>
      <c r="D62" s="17">
        <f>가정!$F$6*MIN(1,MAX(0,(A62-가정!$C$28+1)/가정!$C$30))</f>
        <v>1</v>
      </c>
      <c r="E62" s="17">
        <f>IF(가정!$F$7&lt;30000,1,0)*MIN(1,MAX(0,(A62-가정!$C$29+1)/가정!$C$30))</f>
        <v>1</v>
      </c>
      <c r="F62" s="16">
        <f>IF(가정!$F$7&lt;30000,1,0)*IF(A62&gt;=가정!$C$29,1,0)</f>
        <v>1</v>
      </c>
      <c r="G62" s="17">
        <f>가정!$F$8*MIN(1,MAX(0,(A62-가정!$C$31+1)/가정!$C$32))</f>
        <v>1</v>
      </c>
      <c r="H62" s="18">
        <f>가정!$C$37+D62*가정!$C$14+E62*가정!$C$18</f>
        <v>-1E-3</v>
      </c>
      <c r="I62" s="17">
        <f t="shared" si="13"/>
        <v>16.868205056514565</v>
      </c>
      <c r="J62" s="17">
        <f>I62*(1+G62*가정!$C$19)</f>
        <v>21.591302472338644</v>
      </c>
      <c r="K62" s="17">
        <f>I62*가정!$C$36*(1+G62*가정!$C$19*가정!$C$24)</f>
        <v>10.795651236169322</v>
      </c>
      <c r="L62" s="18">
        <f>가정!$C$38+D62*가정!$C$12+E62*가정!$C$17</f>
        <v>0.15</v>
      </c>
      <c r="M62" s="18">
        <f>가정!$C$38+가정!$C$23*(L62-가정!$C$38)</f>
        <v>0.15</v>
      </c>
      <c r="N62" s="19">
        <f t="shared" si="14"/>
        <v>642.56744129212234</v>
      </c>
      <c r="O62" s="20">
        <f>K62+가정!$C$33*M62+N62*L62</f>
        <v>168.08076742998767</v>
      </c>
      <c r="P62" s="21">
        <f>가정!$C$39*(1+D62*가정!$C$13)</f>
        <v>1.5468</v>
      </c>
      <c r="Q62" s="21">
        <f>1+F62*가정!$C$15</f>
        <v>1.0860000000000001</v>
      </c>
      <c r="R62" s="21">
        <f t="shared" si="8"/>
        <v>1.6798248</v>
      </c>
      <c r="S62" s="20">
        <f t="shared" si="9"/>
        <v>282.34624153192556</v>
      </c>
      <c r="T62" s="19">
        <f>IF(F62=1,가정!$C$16,가정!$C$40)</f>
        <v>29800</v>
      </c>
      <c r="U62" s="20">
        <f t="shared" si="10"/>
        <v>841.3917997651381</v>
      </c>
      <c r="V62" s="20">
        <f>U62/(1-가정!$C$41)*가정!$C$42</f>
        <v>885.67557870014537</v>
      </c>
      <c r="W62" s="19">
        <f>가정!$C$33+N62+K62</f>
        <v>1059.3630925282916</v>
      </c>
      <c r="X62" s="19">
        <f t="shared" si="15"/>
        <v>1269.3630925282926</v>
      </c>
      <c r="Y62" s="19">
        <f t="shared" si="11"/>
        <v>2328.7261850565842</v>
      </c>
      <c r="Z62" s="20">
        <f t="shared" si="12"/>
        <v>259.98733106070495</v>
      </c>
    </row>
    <row r="63" spans="1:26" x14ac:dyDescent="0.3">
      <c r="A63" s="22">
        <v>60</v>
      </c>
      <c r="B63" s="22">
        <v>2031</v>
      </c>
      <c r="C63" s="22">
        <v>12</v>
      </c>
      <c r="D63" s="23">
        <f>가정!$F$6*MIN(1,MAX(0,(A63-가정!$C$28+1)/가정!$C$30))</f>
        <v>1</v>
      </c>
      <c r="E63" s="23">
        <f>IF(가정!$F$7&lt;30000,1,0)*MIN(1,MAX(0,(A63-가정!$C$29+1)/가정!$C$30))</f>
        <v>1</v>
      </c>
      <c r="F63" s="22">
        <f>IF(가정!$F$7&lt;30000,1,0)*IF(A63&gt;=가정!$C$29,1,0)</f>
        <v>1</v>
      </c>
      <c r="G63" s="23">
        <f>가정!$F$8*MIN(1,MAX(0,(A63-가정!$C$31+1)/가정!$C$32))</f>
        <v>1</v>
      </c>
      <c r="H63" s="24">
        <f>가정!$C$37+D63*가정!$C$14+E63*가정!$C$18</f>
        <v>-1E-3</v>
      </c>
      <c r="I63" s="23">
        <f t="shared" si="13"/>
        <v>16.851336851458051</v>
      </c>
      <c r="J63" s="23">
        <f>I63*(1+G63*가정!$C$19)</f>
        <v>21.569711169866306</v>
      </c>
      <c r="K63" s="23">
        <f>I63*가정!$C$36*(1+G63*가정!$C$19*가정!$C$24)</f>
        <v>10.784855584933153</v>
      </c>
      <c r="L63" s="24">
        <f>가정!$C$38+D63*가정!$C$12+E63*가정!$C$17</f>
        <v>0.15</v>
      </c>
      <c r="M63" s="24">
        <f>가정!$C$38+가정!$C$23*(L63-가정!$C$38)</f>
        <v>0.15</v>
      </c>
      <c r="N63" s="25">
        <f t="shared" si="14"/>
        <v>653.36309252829165</v>
      </c>
      <c r="O63" s="26">
        <f>K63+가정!$C$33*M63+N63*L63</f>
        <v>169.68931946417689</v>
      </c>
      <c r="P63" s="27">
        <f>가정!$C$39*(1+D63*가정!$C$13)</f>
        <v>1.5468</v>
      </c>
      <c r="Q63" s="27">
        <f>1+F63*가정!$C$15</f>
        <v>1.0860000000000001</v>
      </c>
      <c r="R63" s="27">
        <f t="shared" si="8"/>
        <v>1.6798248</v>
      </c>
      <c r="S63" s="26">
        <f t="shared" si="9"/>
        <v>285.04832713104707</v>
      </c>
      <c r="T63" s="25">
        <f>IF(F63=1,가정!$C$16,가정!$C$40)</f>
        <v>29800</v>
      </c>
      <c r="U63" s="26">
        <f t="shared" si="10"/>
        <v>849.44401485052038</v>
      </c>
      <c r="V63" s="26">
        <f>U63/(1-가정!$C$41)*가정!$C$42</f>
        <v>894.15159457949517</v>
      </c>
      <c r="W63" s="25">
        <f>가정!$C$33+N63+K63</f>
        <v>1070.1479481132249</v>
      </c>
      <c r="X63" s="25">
        <f t="shared" si="15"/>
        <v>1280.1479481132255</v>
      </c>
      <c r="Y63" s="25">
        <f t="shared" si="11"/>
        <v>2350.2958962264502</v>
      </c>
      <c r="Z63" s="26">
        <f t="shared" si="12"/>
        <v>262.4754393471888</v>
      </c>
    </row>
  </sheetData>
  <phoneticPr fontId="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4"/>
  <sheetViews>
    <sheetView showGridLines="0" workbookViewId="0">
      <selection activeCell="B5" sqref="B5"/>
    </sheetView>
  </sheetViews>
  <sheetFormatPr defaultRowHeight="16.5" x14ac:dyDescent="0.3"/>
  <cols>
    <col min="1" max="1" width="34" customWidth="1"/>
    <col min="2" max="6" width="13" customWidth="1"/>
  </cols>
  <sheetData>
    <row r="1" spans="1:6" ht="17.25" x14ac:dyDescent="0.3">
      <c r="A1" s="1" t="s">
        <v>134</v>
      </c>
    </row>
    <row r="2" spans="1:6" x14ac:dyDescent="0.3">
      <c r="A2" s="2" t="s">
        <v>135</v>
      </c>
    </row>
    <row r="4" spans="1:6" x14ac:dyDescent="0.3">
      <c r="A4" s="28" t="s">
        <v>136</v>
      </c>
      <c r="B4" s="29" t="s">
        <v>137</v>
      </c>
      <c r="C4" s="29" t="s">
        <v>138</v>
      </c>
      <c r="D4" s="29" t="s">
        <v>139</v>
      </c>
      <c r="E4" s="29" t="s">
        <v>140</v>
      </c>
      <c r="F4" s="29" t="s">
        <v>141</v>
      </c>
    </row>
    <row r="5" spans="1:6" x14ac:dyDescent="0.3">
      <c r="A5" s="6" t="s">
        <v>5</v>
      </c>
      <c r="B5" s="30">
        <f>SUMIFS(S1_현재기준!$V$4:$V$63,S1_현재기준!$B$4:$B$63,2027)</f>
        <v>3152.5968751061823</v>
      </c>
      <c r="C5" s="30">
        <f>SUMIFS(S1_현재기준!$V$4:$V$63,S1_현재기준!$B$4:$B$63,2028)</f>
        <v>3776.958896383996</v>
      </c>
      <c r="D5" s="30">
        <f>SUMIFS(S1_현재기준!$V$4:$V$63,S1_현재기준!$B$4:$B$63,2029)</f>
        <v>4364.872415390344</v>
      </c>
      <c r="E5" s="30">
        <f>SUMIFS(S1_현재기준!$V$4:$V$63,S1_현재기준!$B$4:$B$63,2030)</f>
        <v>4918.4651933800096</v>
      </c>
      <c r="F5" s="30">
        <f>SUMIFS(S1_현재기준!$V$4:$V$63,S1_현재기준!$B$4:$B$63,2031)</f>
        <v>5439.7407788781647</v>
      </c>
    </row>
    <row r="6" spans="1:6" x14ac:dyDescent="0.3">
      <c r="A6" s="6" t="s">
        <v>131</v>
      </c>
      <c r="B6" s="30">
        <f>SUMIFS(S2_익일!$V$4:$V$63,S2_익일!$B$4:$B$63,2027)</f>
        <v>3209.4047432989246</v>
      </c>
      <c r="C6" s="30">
        <f>SUMIFS(S2_익일!$V$4:$V$63,S2_익일!$B$4:$B$63,2028)</f>
        <v>4166.3160110258686</v>
      </c>
      <c r="D6" s="30">
        <f>SUMIFS(S2_익일!$V$4:$V$63,S2_익일!$B$4:$B$63,2029)</f>
        <v>5243.1465278308006</v>
      </c>
      <c r="E6" s="30">
        <f>SUMIFS(S2_익일!$V$4:$V$63,S2_익일!$B$4:$B$63,2030)</f>
        <v>6427.6233561773115</v>
      </c>
      <c r="F6" s="30">
        <f>SUMIFS(S2_익일!$V$4:$V$63,S2_익일!$B$4:$B$63,2031)</f>
        <v>7607.9691188724928</v>
      </c>
    </row>
    <row r="7" spans="1:6" x14ac:dyDescent="0.3">
      <c r="A7" s="6" t="s">
        <v>132</v>
      </c>
      <c r="B7" s="30">
        <f>SUMIFS(S3_익일무배!$V$4:$V$63,S3_익일무배!$B$4:$B$63,2027)</f>
        <v>3256.8348821841155</v>
      </c>
      <c r="C7" s="30">
        <f>SUMIFS(S3_익일무배!$V$4:$V$63,S3_익일무배!$B$4:$B$63,2028)</f>
        <v>4406.5966357546622</v>
      </c>
      <c r="D7" s="30">
        <f>SUMIFS(S3_익일무배!$V$4:$V$63,S3_익일무배!$B$4:$B$63,2029)</f>
        <v>5751.840682875928</v>
      </c>
      <c r="E7" s="30">
        <f>SUMIFS(S3_익일무배!$V$4:$V$63,S3_익일무배!$B$4:$B$63,2030)</f>
        <v>7303.9690058696278</v>
      </c>
      <c r="F7" s="30">
        <f>SUMIFS(S3_익일무배!$V$4:$V$63,S3_익일무배!$B$4:$B$63,2031)</f>
        <v>8908.6182820096219</v>
      </c>
    </row>
    <row r="8" spans="1:6" x14ac:dyDescent="0.3">
      <c r="A8" s="6" t="s">
        <v>133</v>
      </c>
      <c r="B8" s="30">
        <f>SUMIFS(S4_익일무배회원!$V$4:$V$63,S4_익일무배회원!$B$4:$B$63,2027)</f>
        <v>3302.6114927012886</v>
      </c>
      <c r="C8" s="30">
        <f>SUMIFS(S4_익일무배회원!$V$4:$V$63,S4_익일무배회원!$B$4:$B$63,2028)</f>
        <v>4690.5300307228845</v>
      </c>
      <c r="D8" s="30">
        <f>SUMIFS(S4_익일무배회원!$V$4:$V$63,S4_익일무배회원!$B$4:$B$63,2029)</f>
        <v>6293.171829735722</v>
      </c>
      <c r="E8" s="30">
        <f>SUMIFS(S4_익일무배회원!$V$4:$V$63,S4_익일무배회원!$B$4:$B$63,2030)</f>
        <v>8148.6258092257995</v>
      </c>
      <c r="F8" s="30">
        <f>SUMIFS(S4_익일무배회원!$V$4:$V$63,S4_익일무배회원!$B$4:$B$63,2031)</f>
        <v>10089.719154401811</v>
      </c>
    </row>
    <row r="10" spans="1:6" x14ac:dyDescent="0.3">
      <c r="A10" s="28" t="s">
        <v>142</v>
      </c>
      <c r="B10" s="29" t="s">
        <v>137</v>
      </c>
      <c r="C10" s="29" t="s">
        <v>138</v>
      </c>
      <c r="D10" s="29" t="s">
        <v>139</v>
      </c>
      <c r="E10" s="29" t="s">
        <v>140</v>
      </c>
      <c r="F10" s="29" t="s">
        <v>141</v>
      </c>
    </row>
    <row r="11" spans="1:6" x14ac:dyDescent="0.3">
      <c r="A11" s="6" t="s">
        <v>5</v>
      </c>
      <c r="B11" s="31">
        <f>SUMIFS(S1_현재기준!$V$4:$V$63,S1_현재기준!$B$4:$B$63,2027)/가정!$C$43-1</f>
        <v>0.37069429352442707</v>
      </c>
      <c r="C11" s="31">
        <f>SUMIFS(S1_현재기준!$V$4:$V$63,S1_현재기준!$B$4:$B$63,2028)/SUMIFS(S1_현재기준!$V$4:$V$63,S1_현재기준!$B$4:$B$63,2027)-1</f>
        <v>0.19804689467529357</v>
      </c>
      <c r="D11" s="31">
        <f>SUMIFS(S1_현재기준!$V$4:$V$63,S1_현재기준!$B$4:$B$63,2029)/SUMIFS(S1_현재기준!$V$4:$V$63,S1_현재기준!$B$4:$B$63,2028)-1</f>
        <v>0.15565790762753795</v>
      </c>
      <c r="E11" s="31">
        <f>SUMIFS(S1_현재기준!$V$4:$V$63,S1_현재기준!$B$4:$B$63,2030)/SUMIFS(S1_현재기준!$V$4:$V$63,S1_현재기준!$B$4:$B$63,2029)-1</f>
        <v>0.12682908577985508</v>
      </c>
      <c r="F11" s="31">
        <f>SUMIFS(S1_현재기준!$V$4:$V$63,S1_현재기준!$B$4:$B$63,2031)/SUMIFS(S1_현재기준!$V$4:$V$63,S1_현재기준!$B$4:$B$63,2030)-1</f>
        <v>0.10598338404422658</v>
      </c>
    </row>
    <row r="12" spans="1:6" x14ac:dyDescent="0.3">
      <c r="A12" s="6" t="s">
        <v>131</v>
      </c>
      <c r="B12" s="31">
        <f>SUMIFS(S2_익일!$V$4:$V$63,S2_익일!$B$4:$B$63,2027)/가정!$C$43-1</f>
        <v>0.39539336665170643</v>
      </c>
      <c r="C12" s="31">
        <f>SUMIFS(S2_익일!$V$4:$V$63,S2_익일!$B$4:$B$63,2028)/SUMIFS(S2_익일!$V$4:$V$63,S2_익일!$B$4:$B$63,2027)-1</f>
        <v>0.29815848864962469</v>
      </c>
      <c r="D12" s="31">
        <f>SUMIFS(S2_익일!$V$4:$V$63,S2_익일!$B$4:$B$63,2029)/SUMIFS(S2_익일!$V$4:$V$63,S2_익일!$B$4:$B$63,2028)-1</f>
        <v>0.25846107543335028</v>
      </c>
      <c r="E12" s="31">
        <f>SUMIFS(S2_익일!$V$4:$V$63,S2_익일!$B$4:$B$63,2030)/SUMIFS(S2_익일!$V$4:$V$63,S2_익일!$B$4:$B$63,2029)-1</f>
        <v>0.2259095415432828</v>
      </c>
      <c r="F12" s="31">
        <f>SUMIFS(S2_익일!$V$4:$V$63,S2_익일!$B$4:$B$63,2031)/SUMIFS(S2_익일!$V$4:$V$63,S2_익일!$B$4:$B$63,2030)-1</f>
        <v>0.18363642318288642</v>
      </c>
    </row>
    <row r="13" spans="1:6" x14ac:dyDescent="0.3">
      <c r="A13" s="6" t="s">
        <v>132</v>
      </c>
      <c r="B13" s="31">
        <f>SUMIFS(S3_익일무배!$V$4:$V$63,S3_익일무배!$B$4:$B$63,2027)/가정!$C$43-1</f>
        <v>0.41601516616700662</v>
      </c>
      <c r="C13" s="31">
        <f>SUMIFS(S3_익일무배!$V$4:$V$63,S3_익일무배!$B$4:$B$63,2028)/SUMIFS(S3_익일무배!$V$4:$V$63,S3_익일무배!$B$4:$B$63,2027)-1</f>
        <v>0.35303040994190282</v>
      </c>
      <c r="D13" s="31">
        <f>SUMIFS(S3_익일무배!$V$4:$V$63,S3_익일무배!$B$4:$B$63,2029)/SUMIFS(S3_익일무배!$V$4:$V$63,S3_익일무배!$B$4:$B$63,2028)-1</f>
        <v>0.30527959745761546</v>
      </c>
      <c r="E13" s="31">
        <f>SUMIFS(S3_익일무배!$V$4:$V$63,S3_익일무배!$B$4:$B$63,2030)/SUMIFS(S3_익일무배!$V$4:$V$63,S3_익일무배!$B$4:$B$63,2029)-1</f>
        <v>0.26984897680052455</v>
      </c>
      <c r="F13" s="31">
        <f>SUMIFS(S3_익일무배!$V$4:$V$63,S3_익일무배!$B$4:$B$63,2031)/SUMIFS(S3_익일무배!$V$4:$V$63,S3_익일무배!$B$4:$B$63,2030)-1</f>
        <v>0.21969552100378076</v>
      </c>
    </row>
    <row r="14" spans="1:6" x14ac:dyDescent="0.3">
      <c r="A14" s="6" t="s">
        <v>133</v>
      </c>
      <c r="B14" s="31">
        <f>SUMIFS(S4_익일무배회원!$V$4:$V$63,S4_익일무배회원!$B$4:$B$63,2027)/가정!$C$43-1</f>
        <v>0.43591804030490811</v>
      </c>
      <c r="C14" s="31">
        <f>SUMIFS(S4_익일무배회원!$V$4:$V$63,S4_익일무배회원!$B$4:$B$63,2028)/SUMIFS(S4_익일무배회원!$V$4:$V$63,S4_익일무배회원!$B$4:$B$63,2027)-1</f>
        <v>0.42024880646387586</v>
      </c>
      <c r="D14" s="31">
        <f>SUMIFS(S4_익일무배회원!$V$4:$V$63,S4_익일무배회원!$B$4:$B$63,2029)/SUMIFS(S4_익일무배회원!$V$4:$V$63,S4_익일무배회원!$B$4:$B$63,2028)-1</f>
        <v>0.34167605548105717</v>
      </c>
      <c r="E14" s="31">
        <f>SUMIFS(S4_익일무배회원!$V$4:$V$63,S4_익일무배회원!$B$4:$B$63,2030)/SUMIFS(S4_익일무배회원!$V$4:$V$63,S4_익일무배회원!$B$4:$B$63,2029)-1</f>
        <v>0.29483605877769214</v>
      </c>
      <c r="F14" s="31">
        <f>SUMIFS(S4_익일무배회원!$V$4:$V$63,S4_익일무배회원!$B$4:$B$63,2031)/SUMIFS(S4_익일무배회원!$V$4:$V$63,S4_익일무배회원!$B$4:$B$63,2030)-1</f>
        <v>0.23821112793991883</v>
      </c>
    </row>
    <row r="16" spans="1:6" x14ac:dyDescent="0.3">
      <c r="A16" s="28" t="s">
        <v>143</v>
      </c>
      <c r="B16" s="29" t="s">
        <v>137</v>
      </c>
      <c r="C16" s="29" t="s">
        <v>138</v>
      </c>
      <c r="D16" s="29" t="s">
        <v>139</v>
      </c>
      <c r="E16" s="29" t="s">
        <v>140</v>
      </c>
      <c r="F16" s="29" t="s">
        <v>141</v>
      </c>
    </row>
    <row r="17" spans="1:6" x14ac:dyDescent="0.3">
      <c r="A17" s="6" t="s">
        <v>5</v>
      </c>
      <c r="B17" s="30">
        <f>SUMIFS(S1_현재기준!$S$4:$S$63,S1_현재기준!$B$4:$B$63,2027)</f>
        <v>940.45312797553004</v>
      </c>
      <c r="C17" s="30">
        <f>SUMIFS(S1_현재기준!$S$4:$S$63,S1_현재기준!$B$4:$B$63,2028)</f>
        <v>1126.7069495587502</v>
      </c>
      <c r="D17" s="30">
        <f>SUMIFS(S1_현재기준!$S$4:$S$63,S1_현재기준!$B$4:$B$63,2029)</f>
        <v>1302.0877958364715</v>
      </c>
      <c r="E17" s="30">
        <f>SUMIFS(S1_현재기준!$S$4:$S$63,S1_현재기준!$B$4:$B$63,2030)</f>
        <v>1467.2304005875178</v>
      </c>
      <c r="F17" s="30">
        <f>SUMIFS(S1_현재기준!$S$4:$S$63,S1_현재기준!$B$4:$B$63,2031)</f>
        <v>1622.7324436143492</v>
      </c>
    </row>
    <row r="18" spans="1:6" x14ac:dyDescent="0.3">
      <c r="A18" s="6" t="s">
        <v>131</v>
      </c>
      <c r="B18" s="30">
        <f>SUMIFS(S2_익일!$S$4:$S$63,S2_익일!$B$4:$B$63,2027)</f>
        <v>957.39951834892236</v>
      </c>
      <c r="C18" s="30">
        <f>SUMIFS(S2_익일!$S$4:$S$63,S2_익일!$B$4:$B$63,2028)</f>
        <v>1242.856311773716</v>
      </c>
      <c r="D18" s="30">
        <f>SUMIFS(S2_익일!$S$4:$S$63,S2_익일!$B$4:$B$63,2029)</f>
        <v>1564.0862907238775</v>
      </c>
      <c r="E18" s="30">
        <f>SUMIFS(S2_익일!$S$4:$S$63,S2_익일!$B$4:$B$63,2030)</f>
        <v>1917.4283075954424</v>
      </c>
      <c r="F18" s="30">
        <f>SUMIFS(S2_익일!$S$4:$S$63,S2_익일!$B$4:$B$63,2031)</f>
        <v>2269.5379837118849</v>
      </c>
    </row>
    <row r="19" spans="1:6" x14ac:dyDescent="0.3">
      <c r="A19" s="6" t="s">
        <v>132</v>
      </c>
      <c r="B19" s="30">
        <f>SUMIFS(S3_익일무배!$S$4:$S$63,S3_익일무배!$B$4:$B$63,2027)</f>
        <v>1007.5766504607436</v>
      </c>
      <c r="C19" s="30">
        <f>SUMIFS(S3_익일무배!$S$4:$S$63,S3_익일무배!$B$4:$B$63,2028)</f>
        <v>1404.7875181097074</v>
      </c>
      <c r="D19" s="30">
        <f>SUMIFS(S3_익일무배!$S$4:$S$63,S3_익일무배!$B$4:$B$63,2029)</f>
        <v>1833.6404861517219</v>
      </c>
      <c r="E19" s="30">
        <f>SUMIFS(S3_익일무배!$S$4:$S$63,S3_익일무배!$B$4:$B$63,2030)</f>
        <v>2328.4464951597802</v>
      </c>
      <c r="F19" s="30">
        <f>SUMIFS(S3_익일무배!$S$4:$S$63,S3_익일무배!$B$4:$B$63,2031)</f>
        <v>2839.9957610433357</v>
      </c>
    </row>
    <row r="20" spans="1:6" x14ac:dyDescent="0.3">
      <c r="A20" s="6" t="s">
        <v>133</v>
      </c>
      <c r="B20" s="30">
        <f>SUMIFS(S4_익일무배회원!$S$4:$S$63,S4_익일무배회원!$B$4:$B$63,2027)</f>
        <v>1022.1069139318967</v>
      </c>
      <c r="C20" s="30">
        <f>SUMIFS(S4_익일무배회원!$S$4:$S$63,S4_익일무배회원!$B$4:$B$63,2028)</f>
        <v>1495.3031977136716</v>
      </c>
      <c r="D20" s="30">
        <f>SUMIFS(S4_익일무배회원!$S$4:$S$63,S4_익일무배회원!$B$4:$B$63,2029)</f>
        <v>2006.2124960566898</v>
      </c>
      <c r="E20" s="30">
        <f>SUMIFS(S4_익일무배회원!$S$4:$S$63,S4_익일무배회원!$B$4:$B$63,2030)</f>
        <v>2597.7162814646003</v>
      </c>
      <c r="F20" s="30">
        <f>SUMIFS(S4_익일무배회원!$S$4:$S$63,S4_익일무배회원!$B$4:$B$63,2031)</f>
        <v>3216.521206940175</v>
      </c>
    </row>
    <row r="22" spans="1:6" x14ac:dyDescent="0.3">
      <c r="A22" s="28" t="s">
        <v>144</v>
      </c>
      <c r="B22" s="29" t="s">
        <v>137</v>
      </c>
      <c r="C22" s="29" t="s">
        <v>138</v>
      </c>
      <c r="D22" s="29" t="s">
        <v>139</v>
      </c>
      <c r="E22" s="29" t="s">
        <v>140</v>
      </c>
      <c r="F22" s="29" t="s">
        <v>141</v>
      </c>
    </row>
    <row r="23" spans="1:6" x14ac:dyDescent="0.3">
      <c r="A23" s="6" t="s">
        <v>5</v>
      </c>
      <c r="B23" s="32">
        <f>SUMIFS(S1_현재기준!$J$4:$J$63,S1_현재기준!$B$4:$B$63,2027,S1_현재기준!$C$4:$C$63,12)</f>
        <v>18.927091596268856</v>
      </c>
      <c r="C23" s="32">
        <f>SUMIFS(S1_현재기준!$J$4:$J$63,S1_현재기준!$B$4:$B$63,2028,S1_현재기준!$C$4:$C$63,12)</f>
        <v>17.82218111560417</v>
      </c>
      <c r="D23" s="32">
        <f>SUMIFS(S1_현재기준!$J$4:$J$63,S1_현재기준!$B$4:$B$63,2029,S1_현재기준!$C$4:$C$63,12)</f>
        <v>16.781772207411578</v>
      </c>
      <c r="E23" s="32">
        <f>SUMIFS(S1_현재기준!$J$4:$J$63,S1_현재기준!$B$4:$B$63,2030,S1_현재기준!$C$4:$C$63,12)</f>
        <v>15.802099450940549</v>
      </c>
      <c r="F23" s="32">
        <f>SUMIFS(S1_현재기준!$J$4:$J$63,S1_현재기준!$B$4:$B$63,2031,S1_현재기준!$C$4:$C$63,12)</f>
        <v>14.879617240134756</v>
      </c>
    </row>
    <row r="24" spans="1:6" x14ac:dyDescent="0.3">
      <c r="A24" s="6" t="s">
        <v>131</v>
      </c>
      <c r="B24" s="32">
        <f>SUMIFS(S2_익일!$J$4:$J$63,S2_익일!$B$4:$B$63,2027,S2_익일!$C$4:$C$63,12)</f>
        <v>18.949294856080844</v>
      </c>
      <c r="C24" s="32">
        <f>SUMIFS(S2_익일!$J$4:$J$63,S2_익일!$B$4:$B$63,2028,S2_익일!$C$4:$C$63,12)</f>
        <v>17.964509115621158</v>
      </c>
      <c r="D24" s="32">
        <f>SUMIFS(S2_익일!$J$4:$J$63,S2_익일!$B$4:$B$63,2029,S2_익일!$C$4:$C$63,12)</f>
        <v>17.133827096577267</v>
      </c>
      <c r="E24" s="32">
        <f>SUMIFS(S2_익일!$J$4:$J$63,S2_익일!$B$4:$B$63,2030,S2_익일!$C$4:$C$63,12)</f>
        <v>16.440265118397885</v>
      </c>
      <c r="F24" s="32">
        <f>SUMIFS(S2_익일!$J$4:$J$63,S2_익일!$B$4:$B$63,2031,S2_익일!$C$4:$C$63,12)</f>
        <v>15.851457644518838</v>
      </c>
    </row>
    <row r="25" spans="1:6" x14ac:dyDescent="0.3">
      <c r="A25" s="6" t="s">
        <v>132</v>
      </c>
      <c r="B25" s="32">
        <f>SUMIFS(S3_익일무배!$J$4:$J$63,S3_익일무배!$B$4:$B$63,2027,S3_익일무배!$C$4:$C$63,12)</f>
        <v>18.96596090169156</v>
      </c>
      <c r="C25" s="32">
        <f>SUMIFS(S3_익일무배!$J$4:$J$63,S3_익일무배!$B$4:$B$63,2028,S3_익일무배!$C$4:$C$63,12)</f>
        <v>18.093505429254083</v>
      </c>
      <c r="D25" s="32">
        <f>SUMIFS(S3_익일무배!$J$4:$J$63,S3_익일무배!$B$4:$B$63,2029,S3_익일무배!$C$4:$C$63,12)</f>
        <v>17.470284642840589</v>
      </c>
      <c r="E25" s="32">
        <f>SUMIFS(S3_익일무배!$J$4:$J$63,S3_익일무배!$B$4:$B$63,2030,S3_익일무배!$C$4:$C$63,12)</f>
        <v>17.072668456696761</v>
      </c>
      <c r="F25" s="32">
        <f>SUMIFS(S3_익일무배!$J$4:$J$63,S3_익일무배!$B$4:$B$63,2031,S3_익일무배!$C$4:$C$63,12)</f>
        <v>16.851336851458051</v>
      </c>
    </row>
    <row r="26" spans="1:6" x14ac:dyDescent="0.3">
      <c r="A26" s="6" t="s">
        <v>133</v>
      </c>
      <c r="B26" s="32">
        <f>SUMIFS(S4_익일무배회원!$J$4:$J$63,S4_익일무배회원!$B$4:$B$63,2027,S4_익일무배회원!$C$4:$C$63,12)</f>
        <v>22.506273603340652</v>
      </c>
      <c r="C26" s="32">
        <f>SUMIFS(S4_익일무배회원!$J$4:$J$63,S4_익일무배회원!$B$4:$B$63,2028,S4_익일무배회원!$C$4:$C$63,12)</f>
        <v>23.159686949445227</v>
      </c>
      <c r="D26" s="32">
        <f>SUMIFS(S4_익일무배회원!$J$4:$J$63,S4_익일무배회원!$B$4:$B$63,2029,S4_익일무배회원!$C$4:$C$63,12)</f>
        <v>22.361964342835954</v>
      </c>
      <c r="E26" s="32">
        <f>SUMIFS(S4_익일무배회원!$J$4:$J$63,S4_익일무배회원!$B$4:$B$63,2030,S4_익일무배회원!$C$4:$C$63,12)</f>
        <v>21.853015624571853</v>
      </c>
      <c r="F26" s="32">
        <f>SUMIFS(S4_익일무배회원!$J$4:$J$63,S4_익일무배회원!$B$4:$B$63,2031,S4_익일무배회원!$C$4:$C$63,12)</f>
        <v>21.569711169866306</v>
      </c>
    </row>
    <row r="28" spans="1:6" x14ac:dyDescent="0.3">
      <c r="A28" s="28" t="s">
        <v>145</v>
      </c>
      <c r="B28" s="29" t="s">
        <v>137</v>
      </c>
      <c r="C28" s="29" t="s">
        <v>138</v>
      </c>
      <c r="D28" s="29" t="s">
        <v>139</v>
      </c>
      <c r="E28" s="29" t="s">
        <v>140</v>
      </c>
      <c r="F28" s="29" t="s">
        <v>141</v>
      </c>
    </row>
    <row r="29" spans="1:6" x14ac:dyDescent="0.3">
      <c r="A29" s="6" t="s">
        <v>5</v>
      </c>
      <c r="B29" s="32">
        <f>SUMIFS(S1_현재기준!$K$4:$K$63,S1_현재기준!$B$4:$B$63,2027,S1_현재기준!$C$4:$C$63,12)</f>
        <v>9.4635457981344278</v>
      </c>
      <c r="C29" s="32">
        <f>SUMIFS(S1_현재기준!$K$4:$K$63,S1_현재기준!$B$4:$B$63,2028,S1_현재기준!$C$4:$C$63,12)</f>
        <v>8.9110905578020851</v>
      </c>
      <c r="D29" s="32">
        <f>SUMIFS(S1_현재기준!$K$4:$K$63,S1_현재기준!$B$4:$B$63,2029,S1_현재기준!$C$4:$C$63,12)</f>
        <v>8.3908861037057889</v>
      </c>
      <c r="E29" s="32">
        <f>SUMIFS(S1_현재기준!$K$4:$K$63,S1_현재기준!$B$4:$B$63,2030,S1_현재기준!$C$4:$C$63,12)</f>
        <v>7.9010497254702745</v>
      </c>
      <c r="F29" s="32">
        <f>SUMIFS(S1_현재기준!$K$4:$K$63,S1_현재기준!$B$4:$B$63,2031,S1_현재기준!$C$4:$C$63,12)</f>
        <v>7.4398086200673781</v>
      </c>
    </row>
    <row r="30" spans="1:6" x14ac:dyDescent="0.3">
      <c r="A30" s="6" t="s">
        <v>131</v>
      </c>
      <c r="B30" s="32">
        <f>SUMIFS(S2_익일!$K$4:$K$63,S2_익일!$B$4:$B$63,2027,S2_익일!$C$4:$C$63,12)</f>
        <v>9.4746474280404218</v>
      </c>
      <c r="C30" s="32">
        <f>SUMIFS(S2_익일!$K$4:$K$63,S2_익일!$B$4:$B$63,2028,S2_익일!$C$4:$C$63,12)</f>
        <v>8.9822545578105792</v>
      </c>
      <c r="D30" s="32">
        <f>SUMIFS(S2_익일!$K$4:$K$63,S2_익일!$B$4:$B$63,2029,S2_익일!$C$4:$C$63,12)</f>
        <v>8.5669135482886336</v>
      </c>
      <c r="E30" s="32">
        <f>SUMIFS(S2_익일!$K$4:$K$63,S2_익일!$B$4:$B$63,2030,S2_익일!$C$4:$C$63,12)</f>
        <v>8.2201325591989427</v>
      </c>
      <c r="F30" s="32">
        <f>SUMIFS(S2_익일!$K$4:$K$63,S2_익일!$B$4:$B$63,2031,S2_익일!$C$4:$C$63,12)</f>
        <v>7.9257288222594191</v>
      </c>
    </row>
    <row r="31" spans="1:6" x14ac:dyDescent="0.3">
      <c r="A31" s="6" t="s">
        <v>132</v>
      </c>
      <c r="B31" s="32">
        <f>SUMIFS(S3_익일무배!$K$4:$K$63,S3_익일무배!$B$4:$B$63,2027,S3_익일무배!$C$4:$C$63,12)</f>
        <v>9.4829804508457798</v>
      </c>
      <c r="C31" s="32">
        <f>SUMIFS(S3_익일무배!$K$4:$K$63,S3_익일무배!$B$4:$B$63,2028,S3_익일무배!$C$4:$C$63,12)</f>
        <v>9.0467527146270417</v>
      </c>
      <c r="D31" s="32">
        <f>SUMIFS(S3_익일무배!$K$4:$K$63,S3_익일무배!$B$4:$B$63,2029,S3_익일무배!$C$4:$C$63,12)</f>
        <v>8.7351423214202946</v>
      </c>
      <c r="E31" s="32">
        <f>SUMIFS(S3_익일무배!$K$4:$K$63,S3_익일무배!$B$4:$B$63,2030,S3_익일무배!$C$4:$C$63,12)</f>
        <v>8.5363342283483803</v>
      </c>
      <c r="F31" s="32">
        <f>SUMIFS(S3_익일무배!$K$4:$K$63,S3_익일무배!$B$4:$B$63,2031,S3_익일무배!$C$4:$C$63,12)</f>
        <v>8.4256684257290253</v>
      </c>
    </row>
    <row r="32" spans="1:6" x14ac:dyDescent="0.3">
      <c r="A32" s="6" t="s">
        <v>133</v>
      </c>
      <c r="B32" s="32">
        <f>SUMIFS(S4_익일무배회원!$K$4:$K$63,S4_익일무배회원!$B$4:$B$63,2027,S4_익일무배회원!$C$4:$C$63,12)</f>
        <v>11.253136801670326</v>
      </c>
      <c r="C32" s="32">
        <f>SUMIFS(S4_익일무배회원!$K$4:$K$63,S4_익일무배회원!$B$4:$B$63,2028,S4_익일무배회원!$C$4:$C$63,12)</f>
        <v>11.579843474722614</v>
      </c>
      <c r="D32" s="32">
        <f>SUMIFS(S4_익일무배회원!$K$4:$K$63,S4_익일무배회원!$B$4:$B$63,2029,S4_익일무배회원!$C$4:$C$63,12)</f>
        <v>11.180982171417977</v>
      </c>
      <c r="E32" s="32">
        <f>SUMIFS(S4_익일무배회원!$K$4:$K$63,S4_익일무배회원!$B$4:$B$63,2030,S4_익일무배회원!$C$4:$C$63,12)</f>
        <v>10.926507812285926</v>
      </c>
      <c r="F32" s="32">
        <f>SUMIFS(S4_익일무배회원!$K$4:$K$63,S4_익일무배회원!$B$4:$B$63,2031,S4_익일무배회원!$C$4:$C$63,12)</f>
        <v>10.784855584933153</v>
      </c>
    </row>
    <row r="34" spans="1:6" x14ac:dyDescent="0.3">
      <c r="A34" s="28" t="s">
        <v>146</v>
      </c>
      <c r="B34" s="29" t="s">
        <v>137</v>
      </c>
      <c r="C34" s="29" t="s">
        <v>138</v>
      </c>
      <c r="D34" s="29" t="s">
        <v>139</v>
      </c>
      <c r="E34" s="29" t="s">
        <v>140</v>
      </c>
      <c r="F34" s="29" t="s">
        <v>141</v>
      </c>
    </row>
    <row r="35" spans="1:6" x14ac:dyDescent="0.3">
      <c r="A35" s="6" t="s">
        <v>5</v>
      </c>
      <c r="B35" s="30">
        <f>SUMIFS(S1_현재기준!$Y$4:$Y$63,S1_현재기준!$B$4:$B$63,2027,S1_현재기준!$C$4:$C$63,12)</f>
        <v>1255.5087723424963</v>
      </c>
      <c r="C35" s="30">
        <f>SUMIFS(S1_현재기준!$Y$4:$Y$63,S1_현재기준!$B$4:$B$63,2028,S1_현재기준!$C$4:$C$63,12)</f>
        <v>1475.3859579947678</v>
      </c>
      <c r="D35" s="30">
        <f>SUMIFS(S1_현재기준!$Y$4:$Y$63,S1_현재기준!$B$4:$B$63,2029,S1_현재기준!$C$4:$C$63,12)</f>
        <v>1682.4273307250933</v>
      </c>
      <c r="E35" s="30">
        <f>SUMIFS(S1_현재기준!$Y$4:$Y$63,S1_현재기준!$B$4:$B$63,2030,S1_현재기준!$C$4:$C$63,12)</f>
        <v>1877.3822092628282</v>
      </c>
      <c r="F35" s="30">
        <f>SUMIFS(S1_현재기준!$Y$4:$Y$63,S1_현재기준!$B$4:$B$63,2031,S1_현재기준!$C$4:$C$63,12)</f>
        <v>2060.9561692131801</v>
      </c>
    </row>
    <row r="36" spans="1:6" x14ac:dyDescent="0.3">
      <c r="A36" s="6" t="s">
        <v>131</v>
      </c>
      <c r="B36" s="30">
        <f>SUMIFS(S2_익일!$Y$4:$Y$63,S2_익일!$B$4:$B$63,2027,S2_익일!$C$4:$C$63,12)</f>
        <v>1255.5758754224667</v>
      </c>
      <c r="C36" s="30">
        <f>SUMIFS(S2_익일!$Y$4:$Y$63,S2_익일!$B$4:$B$63,2028,S2_익일!$C$4:$C$63,12)</f>
        <v>1476.4037197639641</v>
      </c>
      <c r="D36" s="30">
        <f>SUMIFS(S2_익일!$Y$4:$Y$63,S2_익일!$B$4:$B$63,2029,S2_익일!$C$4:$C$63,12)</f>
        <v>1686.4344216250313</v>
      </c>
      <c r="E36" s="30">
        <f>SUMIFS(S2_익일!$Y$4:$Y$63,S2_익일!$B$4:$B$63,2030,S2_익일!$C$4:$C$63,12)</f>
        <v>1887.4034147564328</v>
      </c>
      <c r="F36" s="30">
        <f>SUMIFS(S2_익일!$Y$4:$Y$63,S2_익일!$B$4:$B$63,2031,S2_익일!$C$4:$C$63,12)</f>
        <v>2080.8075669874825</v>
      </c>
    </row>
    <row r="37" spans="1:6" x14ac:dyDescent="0.3">
      <c r="A37" s="6" t="s">
        <v>132</v>
      </c>
      <c r="B37" s="30">
        <f>SUMIFS(S3_익일무배!$Y$4:$Y$63,S3_익일무배!$B$4:$B$63,2027,S3_익일무배!$C$4:$C$63,12)</f>
        <v>1255.6205801378394</v>
      </c>
      <c r="C37" s="30">
        <f>SUMIFS(S3_익일무배!$Y$4:$Y$63,S3_익일무배!$B$4:$B$63,2028,S3_익일무배!$C$4:$C$63,12)</f>
        <v>1477.2788536491776</v>
      </c>
      <c r="D37" s="30">
        <f>SUMIFS(S3_익일무배!$Y$4:$Y$63,S3_익일무배!$B$4:$B$63,2029,S3_익일무배!$C$4:$C$63,12)</f>
        <v>1690.1159250160681</v>
      </c>
      <c r="E37" s="30">
        <f>SUMIFS(S3_익일무배!$Y$4:$Y$63,S3_익일무배!$B$4:$B$63,2030,S3_익일무배!$C$4:$C$63,12)</f>
        <v>1896.9596670382412</v>
      </c>
      <c r="F37" s="30">
        <f>SUMIFS(S3_익일무배!$Y$4:$Y$63,S3_익일무배!$B$4:$B$63,2031,S3_익일무배!$C$4:$C$63,12)</f>
        <v>2100.3140454459472</v>
      </c>
    </row>
    <row r="38" spans="1:6" x14ac:dyDescent="0.3">
      <c r="A38" s="6" t="s">
        <v>133</v>
      </c>
      <c r="B38" s="30">
        <f>SUMIFS(S4_익일무배회원!$Y$4:$Y$63,S4_익일무배회원!$B$4:$B$63,2027,S4_익일무배회원!$C$4:$C$63,12)</f>
        <v>1271.7243594973208</v>
      </c>
      <c r="C38" s="30">
        <f>SUMIFS(S4_익일무배회원!$Y$4:$Y$63,S4_익일무배회원!$B$4:$B$63,2028,S4_익일무배회원!$C$4:$C$63,12)</f>
        <v>1552.8108507265842</v>
      </c>
      <c r="D38" s="30">
        <f>SUMIFS(S4_익일무배회원!$Y$4:$Y$63,S4_익일무배회원!$B$4:$B$63,2029,S4_익일무배회원!$C$4:$C$63,12)</f>
        <v>1825.2423020762039</v>
      </c>
      <c r="E38" s="30">
        <f>SUMIFS(S4_익일무배회원!$Y$4:$Y$63,S4_익일무배회원!$B$4:$B$63,2030,S4_익일무배회원!$C$4:$C$63,12)</f>
        <v>2090.0022918645859</v>
      </c>
      <c r="F38" s="30">
        <f>SUMIFS(S4_익일무배회원!$Y$4:$Y$63,S4_익일무배회원!$B$4:$B$63,2031,S4_익일무배회원!$C$4:$C$63,12)</f>
        <v>2350.2958962264502</v>
      </c>
    </row>
    <row r="40" spans="1:6" x14ac:dyDescent="0.3">
      <c r="A40" s="28" t="s">
        <v>147</v>
      </c>
      <c r="B40" s="29" t="s">
        <v>137</v>
      </c>
      <c r="C40" s="29" t="s">
        <v>138</v>
      </c>
      <c r="D40" s="29" t="s">
        <v>139</v>
      </c>
      <c r="E40" s="29" t="s">
        <v>140</v>
      </c>
      <c r="F40" s="29" t="s">
        <v>141</v>
      </c>
    </row>
    <row r="41" spans="1:6" x14ac:dyDescent="0.3">
      <c r="A41" s="6" t="s">
        <v>5</v>
      </c>
      <c r="B41" s="30">
        <f>SUMIFS(S1_현재기준!$W$4:$W$63,S1_현재기준!$B$4:$B$63,2027,S1_현재기준!$C$4:$C$63,12)</f>
        <v>522.75438617124837</v>
      </c>
      <c r="C41" s="30">
        <f>SUMIFS(S1_현재기준!$W$4:$W$63,S1_현재기준!$B$4:$B$63,2028,S1_현재기준!$C$4:$C$63,12)</f>
        <v>632.69297899738433</v>
      </c>
      <c r="D41" s="30">
        <f>SUMIFS(S1_현재기준!$W$4:$W$63,S1_현재기준!$B$4:$B$63,2029,S1_현재기준!$C$4:$C$63,12)</f>
        <v>736.21366536254698</v>
      </c>
      <c r="E41" s="30">
        <f>SUMIFS(S1_현재기준!$W$4:$W$63,S1_현재기준!$B$4:$B$63,2030,S1_현재기준!$C$4:$C$63,12)</f>
        <v>833.69110463141419</v>
      </c>
      <c r="F41" s="30">
        <f>SUMIFS(S1_현재기준!$W$4:$W$63,S1_현재기준!$B$4:$B$63,2031,S1_현재기준!$C$4:$C$63,12)</f>
        <v>925.47808460659041</v>
      </c>
    </row>
    <row r="42" spans="1:6" x14ac:dyDescent="0.3">
      <c r="A42" s="6" t="s">
        <v>131</v>
      </c>
      <c r="B42" s="30">
        <f>SUMIFS(S2_익일!$W$4:$W$63,S2_익일!$B$4:$B$63,2027,S2_익일!$C$4:$C$63,12)</f>
        <v>522.78793771123344</v>
      </c>
      <c r="C42" s="30">
        <f>SUMIFS(S2_익일!$W$4:$W$63,S2_익일!$B$4:$B$63,2028,S2_익일!$C$4:$C$63,12)</f>
        <v>633.20185988198227</v>
      </c>
      <c r="D42" s="30">
        <f>SUMIFS(S2_익일!$W$4:$W$63,S2_익일!$B$4:$B$63,2029,S2_익일!$C$4:$C$63,12)</f>
        <v>738.21721081251587</v>
      </c>
      <c r="E42" s="30">
        <f>SUMIFS(S2_익일!$W$4:$W$63,S2_익일!$B$4:$B$63,2030,S2_익일!$C$4:$C$63,12)</f>
        <v>838.7017073782165</v>
      </c>
      <c r="F42" s="30">
        <f>SUMIFS(S2_익일!$W$4:$W$63,S2_익일!$B$4:$B$63,2031,S2_익일!$C$4:$C$63,12)</f>
        <v>935.40378349374146</v>
      </c>
    </row>
    <row r="43" spans="1:6" x14ac:dyDescent="0.3">
      <c r="A43" s="6" t="s">
        <v>132</v>
      </c>
      <c r="B43" s="30">
        <f>SUMIFS(S3_익일무배!$W$4:$W$63,S3_익일무배!$B$4:$B$63,2027,S3_익일무배!$C$4:$C$63,12)</f>
        <v>522.8102900689197</v>
      </c>
      <c r="C43" s="30">
        <f>SUMIFS(S3_익일무배!$W$4:$W$63,S3_익일무배!$B$4:$B$63,2028,S3_익일무배!$C$4:$C$63,12)</f>
        <v>633.63942682458878</v>
      </c>
      <c r="D43" s="30">
        <f>SUMIFS(S3_익일무배!$W$4:$W$63,S3_익일무배!$B$4:$B$63,2029,S3_익일무배!$C$4:$C$63,12)</f>
        <v>740.05796250803417</v>
      </c>
      <c r="E43" s="30">
        <f>SUMIFS(S3_익일무배!$W$4:$W$63,S3_익일무배!$B$4:$B$63,2030,S3_익일무배!$C$4:$C$63,12)</f>
        <v>843.47983351912058</v>
      </c>
      <c r="F43" s="30">
        <f>SUMIFS(S3_익일무배!$W$4:$W$63,S3_익일무배!$B$4:$B$63,2031,S3_익일무배!$C$4:$C$63,12)</f>
        <v>945.15702272297369</v>
      </c>
    </row>
    <row r="44" spans="1:6" x14ac:dyDescent="0.3">
      <c r="A44" s="6" t="s">
        <v>133</v>
      </c>
      <c r="B44" s="30">
        <f>SUMIFS(S4_익일무배회원!$W$4:$W$63,S4_익일무배회원!$B$4:$B$63,2027,S4_익일무배회원!$C$4:$C$63,12)</f>
        <v>530.86217974866042</v>
      </c>
      <c r="C44" s="30">
        <f>SUMIFS(S4_익일무배회원!$W$4:$W$63,S4_익일무배회원!$B$4:$B$63,2028,S4_익일무배회원!$C$4:$C$63,12)</f>
        <v>671.40542536329201</v>
      </c>
      <c r="D44" s="30">
        <f>SUMIFS(S4_익일무배회원!$W$4:$W$63,S4_익일무배회원!$B$4:$B$63,2029,S4_익일무배회원!$C$4:$C$63,12)</f>
        <v>807.62115103810208</v>
      </c>
      <c r="E44" s="30">
        <f>SUMIFS(S4_익일무배회원!$W$4:$W$63,S4_익일무배회원!$B$4:$B$63,2030,S4_익일무배회원!$C$4:$C$63,12)</f>
        <v>940.00114593229273</v>
      </c>
      <c r="F44" s="30">
        <f>SUMIFS(S4_익일무배회원!$W$4:$W$63,S4_익일무배회원!$B$4:$B$63,2031,S4_익일무배회원!$C$4:$C$63,12)</f>
        <v>1070.1479481132249</v>
      </c>
    </row>
    <row r="46" spans="1:6" x14ac:dyDescent="0.3">
      <c r="A46" s="28" t="s">
        <v>148</v>
      </c>
      <c r="B46" s="29" t="s">
        <v>137</v>
      </c>
      <c r="C46" s="29" t="s">
        <v>138</v>
      </c>
      <c r="D46" s="29" t="s">
        <v>139</v>
      </c>
      <c r="E46" s="29" t="s">
        <v>140</v>
      </c>
      <c r="F46" s="29" t="s">
        <v>141</v>
      </c>
    </row>
    <row r="47" spans="1:6" x14ac:dyDescent="0.3">
      <c r="A47" s="6" t="s">
        <v>5</v>
      </c>
      <c r="B47" s="33">
        <f>SUMIFS(S1_현재기준!$O$4:$O$63,S1_현재기준!$B$4:$B$63,2027,S1_현재기준!$C$4:$C$63,12)</f>
        <v>66.438829079550075</v>
      </c>
      <c r="C47" s="33">
        <f>SUMIFS(S1_현재기준!$O$4:$O$63,S1_현재기준!$B$4:$B$63,2028,S1_현재기준!$C$4:$C$63,12)</f>
        <v>78.150880174595699</v>
      </c>
      <c r="D47" s="33">
        <f>SUMIFS(S1_현재기준!$O$4:$O$63,S1_현재기준!$B$4:$B$63,2029,S1_현재기준!$C$4:$C$63,12)</f>
        <v>89.179214601437167</v>
      </c>
      <c r="E47" s="33">
        <f>SUMIFS(S1_현재기준!$O$4:$O$63,S1_현재기준!$B$4:$B$63,2030,S1_현재기준!$C$4:$C$63,12)</f>
        <v>99.56374582003005</v>
      </c>
      <c r="F47" s="33">
        <f>SUMIFS(S1_현재기준!$O$4:$O$63,S1_현재기준!$B$4:$B$63,2031,S1_현재기준!$C$4:$C$63,12)</f>
        <v>109.34205725457144</v>
      </c>
    </row>
    <row r="48" spans="1:6" x14ac:dyDescent="0.3">
      <c r="A48" s="6" t="s">
        <v>131</v>
      </c>
      <c r="B48" s="33">
        <f>SUMIFS(S2_익일!$O$4:$O$63,S2_익일!$B$4:$B$63,2027,S2_익일!$C$4:$C$63,12)</f>
        <v>67.874728224634538</v>
      </c>
      <c r="C48" s="33">
        <f>SUMIFS(S2_익일!$O$4:$O$63,S2_익일!$B$4:$B$63,2028,S2_익일!$C$4:$C$63,12)</f>
        <v>82.96528236383584</v>
      </c>
      <c r="D48" s="33">
        <f>SUMIFS(S2_익일!$O$4:$O$63,S2_익일!$B$4:$B$63,2029,S2_익일!$C$4:$C$63,12)</f>
        <v>98.511513733964307</v>
      </c>
      <c r="E48" s="33">
        <f>SUMIFS(S2_익일!$O$4:$O$63,S2_익일!$B$4:$B$63,2030,S2_익일!$C$4:$C$63,12)</f>
        <v>114.53907583550858</v>
      </c>
      <c r="F48" s="33">
        <f>SUMIFS(S2_익일!$O$4:$O$63,S2_익일!$B$4:$B$63,2031,S2_익일!$C$4:$C$63,12)</f>
        <v>128.49787592955209</v>
      </c>
    </row>
    <row r="49" spans="1:6" x14ac:dyDescent="0.3">
      <c r="A49" s="6" t="s">
        <v>132</v>
      </c>
      <c r="B49" s="33">
        <f>SUMIFS(S3_익일무배!$O$4:$O$63,S3_익일무배!$B$4:$B$63,2027,S3_익일무배!$C$4:$C$63,12)</f>
        <v>69.16797451289726</v>
      </c>
      <c r="C49" s="33">
        <f>SUMIFS(S3_익일무배!$O$4:$O$63,S3_익일무배!$B$4:$B$63,2028,S3_익일무배!$C$4:$C$63,12)</f>
        <v>87.758441999859514</v>
      </c>
      <c r="D49" s="33">
        <f>SUMIFS(S3_익일무배!$O$4:$O$63,S3_익일무배!$B$4:$B$63,2029,S3_익일무배!$C$4:$C$63,12)</f>
        <v>108.02745105384034</v>
      </c>
      <c r="E49" s="33">
        <f>SUMIFS(S3_익일무배!$O$4:$O$63,S3_익일무배!$B$4:$B$63,2030,S3_익일무배!$C$4:$C$63,12)</f>
        <v>130.03800803139097</v>
      </c>
      <c r="F49" s="33">
        <f>SUMIFS(S3_익일무배!$O$4:$O$63,S3_익일무배!$B$4:$B$63,2031,S3_익일무배!$C$4:$C$63,12)</f>
        <v>148.93537157031574</v>
      </c>
    </row>
    <row r="50" spans="1:6" x14ac:dyDescent="0.3">
      <c r="A50" s="6" t="s">
        <v>133</v>
      </c>
      <c r="B50" s="33">
        <f>SUMIFS(S4_익일무배회원!$O$4:$O$63,S4_익일무배회원!$B$4:$B$63,2027,S4_익일무배회원!$C$4:$C$63,12)</f>
        <v>71.668513232652657</v>
      </c>
      <c r="C50" s="33">
        <f>SUMIFS(S4_익일무배회원!$O$4:$O$63,S4_익일무배회원!$B$4:$B$63,2028,S4_익일무배회원!$C$4:$C$63,12)</f>
        <v>94.731613158971712</v>
      </c>
      <c r="D50" s="33">
        <f>SUMIFS(S4_익일무배회원!$O$4:$O$63,S4_익일무배회원!$B$4:$B$63,2029,S4_익일무배회원!$C$4:$C$63,12)</f>
        <v>119.31432759858839</v>
      </c>
      <c r="E50" s="33">
        <f>SUMIFS(S4_익일무배회원!$O$4:$O$63,S4_익일무배회원!$B$4:$B$63,2030,S4_익일무배회원!$C$4:$C$63,12)</f>
        <v>146.12622338037443</v>
      </c>
      <c r="F50" s="33">
        <f>SUMIFS(S4_익일무배회원!$O$4:$O$63,S4_익일무배회원!$B$4:$B$63,2031,S4_익일무배회원!$C$4:$C$63,12)</f>
        <v>169.68931946417689</v>
      </c>
    </row>
    <row r="52" spans="1:6" x14ac:dyDescent="0.3">
      <c r="A52" s="28" t="s">
        <v>149</v>
      </c>
      <c r="B52" s="29" t="s">
        <v>137</v>
      </c>
      <c r="C52" s="29" t="s">
        <v>138</v>
      </c>
      <c r="D52" s="29" t="s">
        <v>139</v>
      </c>
      <c r="E52" s="29" t="s">
        <v>140</v>
      </c>
      <c r="F52" s="29" t="s">
        <v>141</v>
      </c>
    </row>
    <row r="53" spans="1:6" x14ac:dyDescent="0.3">
      <c r="A53" s="6" t="s">
        <v>5</v>
      </c>
      <c r="B53" s="31">
        <f>SUMIFS(S1_현재기준!$L$4:$L$63,S1_현재기준!$B$4:$B$63,2027,S1_현재기준!$C$4:$C$63,12)</f>
        <v>0.111</v>
      </c>
      <c r="C53" s="31">
        <f>SUMIFS(S1_현재기준!$L$4:$L$63,S1_현재기준!$B$4:$B$63,2028,S1_현재기준!$C$4:$C$63,12)</f>
        <v>0.111</v>
      </c>
      <c r="D53" s="31">
        <f>SUMIFS(S1_현재기준!$L$4:$L$63,S1_현재기준!$B$4:$B$63,2029,S1_현재기준!$C$4:$C$63,12)</f>
        <v>0.111</v>
      </c>
      <c r="E53" s="31">
        <f>SUMIFS(S1_현재기준!$L$4:$L$63,S1_현재기준!$B$4:$B$63,2030,S1_현재기준!$C$4:$C$63,12)</f>
        <v>0.111</v>
      </c>
      <c r="F53" s="31">
        <f>SUMIFS(S1_현재기준!$L$4:$L$63,S1_현재기준!$B$4:$B$63,2031,S1_현재기준!$C$4:$C$63,12)</f>
        <v>0.111</v>
      </c>
    </row>
    <row r="54" spans="1:6" x14ac:dyDescent="0.3">
      <c r="A54" s="6" t="s">
        <v>131</v>
      </c>
      <c r="B54" s="31">
        <f>SUMIFS(S2_익일!$L$4:$L$63,S2_익일!$B$4:$B$63,2027,S2_익일!$C$4:$C$63,12)</f>
        <v>0.11377083333333333</v>
      </c>
      <c r="C54" s="31">
        <f>SUMIFS(S2_익일!$L$4:$L$63,S2_익일!$B$4:$B$63,2028,S2_익일!$C$4:$C$63,12)</f>
        <v>0.11852083333333334</v>
      </c>
      <c r="D54" s="31">
        <f>SUMIFS(S2_익일!$L$4:$L$63,S2_익일!$B$4:$B$63,2029,S2_익일!$C$4:$C$63,12)</f>
        <v>0.12327083333333333</v>
      </c>
      <c r="E54" s="31">
        <f>SUMIFS(S2_익일!$L$4:$L$63,S2_익일!$B$4:$B$63,2030,S2_익일!$C$4:$C$63,12)</f>
        <v>0.12802083333333333</v>
      </c>
      <c r="F54" s="31">
        <f>SUMIFS(S2_익일!$L$4:$L$63,S2_익일!$B$4:$B$63,2031,S2_익일!$C$4:$C$63,12)</f>
        <v>0.13</v>
      </c>
    </row>
    <row r="55" spans="1:6" x14ac:dyDescent="0.3">
      <c r="A55" s="6" t="s">
        <v>132</v>
      </c>
      <c r="B55" s="31">
        <f>SUMIFS(S3_익일무배!$L$4:$L$63,S3_익일무배!$B$4:$B$63,2027,S3_익일무배!$C$4:$C$63,12)</f>
        <v>0.11627083333333334</v>
      </c>
      <c r="C55" s="31">
        <f>SUMIFS(S3_익일무배!$L$4:$L$63,S3_익일무배!$B$4:$B$63,2028,S3_익일무배!$C$4:$C$63,12)</f>
        <v>0.12602083333333333</v>
      </c>
      <c r="D55" s="31">
        <f>SUMIFS(S3_익일무배!$L$4:$L$63,S3_익일무배!$B$4:$B$63,2029,S3_익일무배!$C$4:$C$63,12)</f>
        <v>0.13577083333333334</v>
      </c>
      <c r="E55" s="31">
        <f>SUMIFS(S3_익일무배!$L$4:$L$63,S3_익일무배!$B$4:$B$63,2030,S3_익일무배!$C$4:$C$63,12)</f>
        <v>0.14552083333333332</v>
      </c>
      <c r="F55" s="31">
        <f>SUMIFS(S3_익일무배!$L$4:$L$63,S3_익일무배!$B$4:$B$63,2031,S3_익일무배!$C$4:$C$63,12)</f>
        <v>0.15</v>
      </c>
    </row>
    <row r="56" spans="1:6" x14ac:dyDescent="0.3">
      <c r="A56" s="6" t="s">
        <v>133</v>
      </c>
      <c r="B56" s="31">
        <f>SUMIFS(S4_익일무배회원!$L$4:$L$63,S4_익일무배회원!$B$4:$B$63,2027,S4_익일무배회원!$C$4:$C$63,12)</f>
        <v>0.11627083333333334</v>
      </c>
      <c r="C56" s="31">
        <f>SUMIFS(S4_익일무배회원!$L$4:$L$63,S4_익일무배회원!$B$4:$B$63,2028,S4_익일무배회원!$C$4:$C$63,12)</f>
        <v>0.12602083333333333</v>
      </c>
      <c r="D56" s="31">
        <f>SUMIFS(S4_익일무배회원!$L$4:$L$63,S4_익일무배회원!$B$4:$B$63,2029,S4_익일무배회원!$C$4:$C$63,12)</f>
        <v>0.13577083333333334</v>
      </c>
      <c r="E56" s="31">
        <f>SUMIFS(S4_익일무배회원!$L$4:$L$63,S4_익일무배회원!$B$4:$B$63,2030,S4_익일무배회원!$C$4:$C$63,12)</f>
        <v>0.14552083333333332</v>
      </c>
      <c r="F56" s="31">
        <f>SUMIFS(S4_익일무배회원!$L$4:$L$63,S4_익일무배회원!$B$4:$B$63,2031,S4_익일무배회원!$C$4:$C$63,12)</f>
        <v>0.15</v>
      </c>
    </row>
    <row r="58" spans="1:6" x14ac:dyDescent="0.3">
      <c r="A58" s="28" t="s">
        <v>150</v>
      </c>
      <c r="B58" s="29" t="s">
        <v>137</v>
      </c>
      <c r="C58" s="29" t="s">
        <v>138</v>
      </c>
      <c r="D58" s="29" t="s">
        <v>139</v>
      </c>
      <c r="E58" s="29" t="s">
        <v>140</v>
      </c>
      <c r="F58" s="29" t="s">
        <v>141</v>
      </c>
    </row>
    <row r="59" spans="1:6" x14ac:dyDescent="0.3">
      <c r="A59" s="6" t="s">
        <v>5</v>
      </c>
      <c r="B59" s="31">
        <f>SUMIFS(S1_현재기준!$M$4:$M$63,S1_현재기준!$B$4:$B$63,2027,S1_현재기준!$C$4:$C$63,12)</f>
        <v>0.111</v>
      </c>
      <c r="C59" s="31">
        <f>SUMIFS(S1_현재기준!$M$4:$M$63,S1_현재기준!$B$4:$B$63,2028,S1_현재기준!$C$4:$C$63,12)</f>
        <v>0.111</v>
      </c>
      <c r="D59" s="31">
        <f>SUMIFS(S1_현재기준!$M$4:$M$63,S1_현재기준!$B$4:$B$63,2029,S1_현재기준!$C$4:$C$63,12)</f>
        <v>0.111</v>
      </c>
      <c r="E59" s="31">
        <f>SUMIFS(S1_현재기준!$M$4:$M$63,S1_현재기준!$B$4:$B$63,2030,S1_현재기준!$C$4:$C$63,12)</f>
        <v>0.111</v>
      </c>
      <c r="F59" s="31">
        <f>SUMIFS(S1_현재기준!$M$4:$M$63,S1_현재기준!$B$4:$B$63,2031,S1_현재기준!$C$4:$C$63,12)</f>
        <v>0.111</v>
      </c>
    </row>
    <row r="60" spans="1:6" x14ac:dyDescent="0.3">
      <c r="A60" s="6" t="s">
        <v>131</v>
      </c>
      <c r="B60" s="31">
        <f>SUMIFS(S2_익일!$M$4:$M$63,S2_익일!$B$4:$B$63,2027,S2_익일!$C$4:$C$63,12)</f>
        <v>0.11377083333333333</v>
      </c>
      <c r="C60" s="31">
        <f>SUMIFS(S2_익일!$M$4:$M$63,S2_익일!$B$4:$B$63,2028,S2_익일!$C$4:$C$63,12)</f>
        <v>0.11852083333333334</v>
      </c>
      <c r="D60" s="31">
        <f>SUMIFS(S2_익일!$M$4:$M$63,S2_익일!$B$4:$B$63,2029,S2_익일!$C$4:$C$63,12)</f>
        <v>0.12327083333333333</v>
      </c>
      <c r="E60" s="31">
        <f>SUMIFS(S2_익일!$M$4:$M$63,S2_익일!$B$4:$B$63,2030,S2_익일!$C$4:$C$63,12)</f>
        <v>0.12802083333333333</v>
      </c>
      <c r="F60" s="31">
        <f>SUMIFS(S2_익일!$M$4:$M$63,S2_익일!$B$4:$B$63,2031,S2_익일!$C$4:$C$63,12)</f>
        <v>0.13</v>
      </c>
    </row>
    <row r="61" spans="1:6" x14ac:dyDescent="0.3">
      <c r="A61" s="6" t="s">
        <v>132</v>
      </c>
      <c r="B61" s="31">
        <f>SUMIFS(S3_익일무배!$M$4:$M$63,S3_익일무배!$B$4:$B$63,2027,S3_익일무배!$C$4:$C$63,12)</f>
        <v>0.11627083333333334</v>
      </c>
      <c r="C61" s="31">
        <f>SUMIFS(S3_익일무배!$M$4:$M$63,S3_익일무배!$B$4:$B$63,2028,S3_익일무배!$C$4:$C$63,12)</f>
        <v>0.12602083333333333</v>
      </c>
      <c r="D61" s="31">
        <f>SUMIFS(S3_익일무배!$M$4:$M$63,S3_익일무배!$B$4:$B$63,2029,S3_익일무배!$C$4:$C$63,12)</f>
        <v>0.13577083333333334</v>
      </c>
      <c r="E61" s="31">
        <f>SUMIFS(S3_익일무배!$M$4:$M$63,S3_익일무배!$B$4:$B$63,2030,S3_익일무배!$C$4:$C$63,12)</f>
        <v>0.14552083333333332</v>
      </c>
      <c r="F61" s="31">
        <f>SUMIFS(S3_익일무배!$M$4:$M$63,S3_익일무배!$B$4:$B$63,2031,S3_익일무배!$C$4:$C$63,12)</f>
        <v>0.15</v>
      </c>
    </row>
    <row r="62" spans="1:6" x14ac:dyDescent="0.3">
      <c r="A62" s="6" t="s">
        <v>133</v>
      </c>
      <c r="B62" s="31">
        <f>SUMIFS(S4_익일무배회원!$M$4:$M$63,S4_익일무배회원!$B$4:$B$63,2027,S4_익일무배회원!$C$4:$C$63,12)</f>
        <v>0.11627083333333334</v>
      </c>
      <c r="C62" s="31">
        <f>SUMIFS(S4_익일무배회원!$M$4:$M$63,S4_익일무배회원!$B$4:$B$63,2028,S4_익일무배회원!$C$4:$C$63,12)</f>
        <v>0.12602083333333333</v>
      </c>
      <c r="D62" s="31">
        <f>SUMIFS(S4_익일무배회원!$M$4:$M$63,S4_익일무배회원!$B$4:$B$63,2029,S4_익일무배회원!$C$4:$C$63,12)</f>
        <v>0.13577083333333334</v>
      </c>
      <c r="E62" s="31">
        <f>SUMIFS(S4_익일무배회원!$M$4:$M$63,S4_익일무배회원!$B$4:$B$63,2030,S4_익일무배회원!$C$4:$C$63,12)</f>
        <v>0.14552083333333332</v>
      </c>
      <c r="F62" s="31">
        <f>SUMIFS(S4_익일무배회원!$M$4:$M$63,S4_익일무배회원!$B$4:$B$63,2031,S4_익일무배회원!$C$4:$C$63,12)</f>
        <v>0.15</v>
      </c>
    </row>
    <row r="64" spans="1:6" x14ac:dyDescent="0.3">
      <c r="A64" s="28" t="s">
        <v>151</v>
      </c>
      <c r="B64" s="29" t="s">
        <v>137</v>
      </c>
      <c r="C64" s="29" t="s">
        <v>138</v>
      </c>
      <c r="D64" s="29" t="s">
        <v>139</v>
      </c>
      <c r="E64" s="29" t="s">
        <v>140</v>
      </c>
      <c r="F64" s="29" t="s">
        <v>141</v>
      </c>
    </row>
    <row r="65" spans="1:6" x14ac:dyDescent="0.3">
      <c r="A65" s="6" t="s">
        <v>5</v>
      </c>
      <c r="B65" s="34">
        <f>SUMIFS(S1_현재기준!$R$4:$R$63,S1_현재기준!$B$4:$B$63,2027,S1_현재기준!$C$4:$C$63,12)</f>
        <v>1.2889999999999999</v>
      </c>
      <c r="C65" s="34">
        <f>SUMIFS(S1_현재기준!$R$4:$R$63,S1_현재기준!$B$4:$B$63,2028,S1_현재기준!$C$4:$C$63,12)</f>
        <v>1.2889999999999999</v>
      </c>
      <c r="D65" s="34">
        <f>SUMIFS(S1_현재기준!$R$4:$R$63,S1_현재기준!$B$4:$B$63,2029,S1_현재기준!$C$4:$C$63,12)</f>
        <v>1.2889999999999999</v>
      </c>
      <c r="E65" s="34">
        <f>SUMIFS(S1_현재기준!$R$4:$R$63,S1_현재기준!$B$4:$B$63,2030,S1_현재기준!$C$4:$C$63,12)</f>
        <v>1.2889999999999999</v>
      </c>
      <c r="F65" s="34">
        <f>SUMIFS(S1_현재기준!$R$4:$R$63,S1_현재기준!$B$4:$B$63,2031,S1_현재기준!$C$4:$C$63,12)</f>
        <v>1.2889999999999999</v>
      </c>
    </row>
    <row r="66" spans="1:6" x14ac:dyDescent="0.3">
      <c r="A66" s="6" t="s">
        <v>131</v>
      </c>
      <c r="B66" s="34">
        <f>SUMIFS(S2_익일!$R$4:$R$63,S2_익일!$B$4:$B$63,2027,S2_익일!$C$4:$C$63,12)</f>
        <v>1.3265958333333332</v>
      </c>
      <c r="C66" s="34">
        <f>SUMIFS(S2_익일!$R$4:$R$63,S2_익일!$B$4:$B$63,2028,S2_익일!$C$4:$C$63,12)</f>
        <v>1.3910458333333331</v>
      </c>
      <c r="D66" s="34">
        <f>SUMIFS(S2_익일!$R$4:$R$63,S2_익일!$B$4:$B$63,2029,S2_익일!$C$4:$C$63,12)</f>
        <v>1.4554958333333332</v>
      </c>
      <c r="E66" s="34">
        <f>SUMIFS(S2_익일!$R$4:$R$63,S2_익일!$B$4:$B$63,2030,S2_익일!$C$4:$C$63,12)</f>
        <v>1.5199458333333333</v>
      </c>
      <c r="F66" s="34">
        <f>SUMIFS(S2_익일!$R$4:$R$63,S2_익일!$B$4:$B$63,2031,S2_익일!$C$4:$C$63,12)</f>
        <v>1.5468</v>
      </c>
    </row>
    <row r="67" spans="1:6" x14ac:dyDescent="0.3">
      <c r="A67" s="6" t="s">
        <v>132</v>
      </c>
      <c r="B67" s="34">
        <f>SUMIFS(S3_익일무배!$R$4:$R$63,S3_익일무배!$B$4:$B$63,2027,S3_익일무배!$C$4:$C$63,12)</f>
        <v>1.4406830749999999</v>
      </c>
      <c r="C67" s="34">
        <f>SUMIFS(S3_익일무배!$R$4:$R$63,S3_익일무배!$B$4:$B$63,2028,S3_익일무배!$C$4:$C$63,12)</f>
        <v>1.5106757749999999</v>
      </c>
      <c r="D67" s="34">
        <f>SUMIFS(S3_익일무배!$R$4:$R$63,S3_익일무배!$B$4:$B$63,2029,S3_익일무배!$C$4:$C$63,12)</f>
        <v>1.580668475</v>
      </c>
      <c r="E67" s="34">
        <f>SUMIFS(S3_익일무배!$R$4:$R$63,S3_익일무배!$B$4:$B$63,2030,S3_익일무배!$C$4:$C$63,12)</f>
        <v>1.6506611750000002</v>
      </c>
      <c r="F67" s="34">
        <f>SUMIFS(S3_익일무배!$R$4:$R$63,S3_익일무배!$B$4:$B$63,2031,S3_익일무배!$C$4:$C$63,12)</f>
        <v>1.6798248</v>
      </c>
    </row>
    <row r="68" spans="1:6" x14ac:dyDescent="0.3">
      <c r="A68" s="6" t="s">
        <v>133</v>
      </c>
      <c r="B68" s="34">
        <f>SUMIFS(S4_익일무배회원!$R$4:$R$63,S4_익일무배회원!$B$4:$B$63,2027,S4_익일무배회원!$C$4:$C$63,12)</f>
        <v>1.4406830749999999</v>
      </c>
      <c r="C68" s="34">
        <f>SUMIFS(S4_익일무배회원!$R$4:$R$63,S4_익일무배회원!$B$4:$B$63,2028,S4_익일무배회원!$C$4:$C$63,12)</f>
        <v>1.5106757749999999</v>
      </c>
      <c r="D68" s="34">
        <f>SUMIFS(S4_익일무배회원!$R$4:$R$63,S4_익일무배회원!$B$4:$B$63,2029,S4_익일무배회원!$C$4:$C$63,12)</f>
        <v>1.580668475</v>
      </c>
      <c r="E68" s="34">
        <f>SUMIFS(S4_익일무배회원!$R$4:$R$63,S4_익일무배회원!$B$4:$B$63,2030,S4_익일무배회원!$C$4:$C$63,12)</f>
        <v>1.6506611750000002</v>
      </c>
      <c r="F68" s="34">
        <f>SUMIFS(S4_익일무배회원!$R$4:$R$63,S4_익일무배회원!$B$4:$B$63,2031,S4_익일무배회원!$C$4:$C$63,12)</f>
        <v>1.6798248</v>
      </c>
    </row>
    <row r="70" spans="1:6" x14ac:dyDescent="0.3">
      <c r="A70" s="28" t="s">
        <v>152</v>
      </c>
      <c r="B70" s="29" t="s">
        <v>137</v>
      </c>
      <c r="C70" s="29" t="s">
        <v>138</v>
      </c>
      <c r="D70" s="29" t="s">
        <v>139</v>
      </c>
      <c r="E70" s="29" t="s">
        <v>140</v>
      </c>
      <c r="F70" s="29" t="s">
        <v>141</v>
      </c>
    </row>
    <row r="71" spans="1:6" x14ac:dyDescent="0.3">
      <c r="A71" s="6" t="s">
        <v>5</v>
      </c>
      <c r="B71" s="30">
        <f>SUMIFS(S1_현재기준!$T$4:$T$63,S1_현재기준!$B$4:$B$63,2027,S1_현재기준!$C$4:$C$63,12)</f>
        <v>31846</v>
      </c>
      <c r="C71" s="30">
        <f>SUMIFS(S1_현재기준!$T$4:$T$63,S1_현재기준!$B$4:$B$63,2028,S1_현재기준!$C$4:$C$63,12)</f>
        <v>31846</v>
      </c>
      <c r="D71" s="30">
        <f>SUMIFS(S1_현재기준!$T$4:$T$63,S1_현재기준!$B$4:$B$63,2029,S1_현재기준!$C$4:$C$63,12)</f>
        <v>31846</v>
      </c>
      <c r="E71" s="30">
        <f>SUMIFS(S1_현재기준!$T$4:$T$63,S1_현재기준!$B$4:$B$63,2030,S1_현재기준!$C$4:$C$63,12)</f>
        <v>31846</v>
      </c>
      <c r="F71" s="30">
        <f>SUMIFS(S1_현재기준!$T$4:$T$63,S1_현재기준!$B$4:$B$63,2031,S1_현재기준!$C$4:$C$63,12)</f>
        <v>31846</v>
      </c>
    </row>
    <row r="72" spans="1:6" x14ac:dyDescent="0.3">
      <c r="A72" s="6" t="s">
        <v>131</v>
      </c>
      <c r="B72" s="30">
        <f>SUMIFS(S2_익일!$T$4:$T$63,S2_익일!$B$4:$B$63,2027,S2_익일!$C$4:$C$63,12)</f>
        <v>31846</v>
      </c>
      <c r="C72" s="30">
        <f>SUMIFS(S2_익일!$T$4:$T$63,S2_익일!$B$4:$B$63,2028,S2_익일!$C$4:$C$63,12)</f>
        <v>31846</v>
      </c>
      <c r="D72" s="30">
        <f>SUMIFS(S2_익일!$T$4:$T$63,S2_익일!$B$4:$B$63,2029,S2_익일!$C$4:$C$63,12)</f>
        <v>31846</v>
      </c>
      <c r="E72" s="30">
        <f>SUMIFS(S2_익일!$T$4:$T$63,S2_익일!$B$4:$B$63,2030,S2_익일!$C$4:$C$63,12)</f>
        <v>31846</v>
      </c>
      <c r="F72" s="30">
        <f>SUMIFS(S2_익일!$T$4:$T$63,S2_익일!$B$4:$B$63,2031,S2_익일!$C$4:$C$63,12)</f>
        <v>31846</v>
      </c>
    </row>
    <row r="73" spans="1:6" x14ac:dyDescent="0.3">
      <c r="A73" s="6" t="s">
        <v>132</v>
      </c>
      <c r="B73" s="30">
        <f>SUMIFS(S3_익일무배!$T$4:$T$63,S3_익일무배!$B$4:$B$63,2027,S3_익일무배!$C$4:$C$63,12)</f>
        <v>29800</v>
      </c>
      <c r="C73" s="30">
        <f>SUMIFS(S3_익일무배!$T$4:$T$63,S3_익일무배!$B$4:$B$63,2028,S3_익일무배!$C$4:$C$63,12)</f>
        <v>29800</v>
      </c>
      <c r="D73" s="30">
        <f>SUMIFS(S3_익일무배!$T$4:$T$63,S3_익일무배!$B$4:$B$63,2029,S3_익일무배!$C$4:$C$63,12)</f>
        <v>29800</v>
      </c>
      <c r="E73" s="30">
        <f>SUMIFS(S3_익일무배!$T$4:$T$63,S3_익일무배!$B$4:$B$63,2030,S3_익일무배!$C$4:$C$63,12)</f>
        <v>29800</v>
      </c>
      <c r="F73" s="30">
        <f>SUMIFS(S3_익일무배!$T$4:$T$63,S3_익일무배!$B$4:$B$63,2031,S3_익일무배!$C$4:$C$63,12)</f>
        <v>29800</v>
      </c>
    </row>
    <row r="74" spans="1:6" x14ac:dyDescent="0.3">
      <c r="A74" s="6" t="s">
        <v>133</v>
      </c>
      <c r="B74" s="30">
        <f>SUMIFS(S4_익일무배회원!$T$4:$T$63,S4_익일무배회원!$B$4:$B$63,2027,S4_익일무배회원!$C$4:$C$63,12)</f>
        <v>29800</v>
      </c>
      <c r="C74" s="30">
        <f>SUMIFS(S4_익일무배회원!$T$4:$T$63,S4_익일무배회원!$B$4:$B$63,2028,S4_익일무배회원!$C$4:$C$63,12)</f>
        <v>29800</v>
      </c>
      <c r="D74" s="30">
        <f>SUMIFS(S4_익일무배회원!$T$4:$T$63,S4_익일무배회원!$B$4:$B$63,2029,S4_익일무배회원!$C$4:$C$63,12)</f>
        <v>29800</v>
      </c>
      <c r="E74" s="30">
        <f>SUMIFS(S4_익일무배회원!$T$4:$T$63,S4_익일무배회원!$B$4:$B$63,2030,S4_익일무배회원!$C$4:$C$63,12)</f>
        <v>29800</v>
      </c>
      <c r="F74" s="30">
        <f>SUMIFS(S4_익일무배회원!$T$4:$T$63,S4_익일무배회원!$B$4:$B$63,2031,S4_익일무배회원!$C$4:$C$63,12)</f>
        <v>29800</v>
      </c>
    </row>
  </sheetData>
  <phoneticPr fontId="9" type="noConversion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3"/>
  <sheetViews>
    <sheetView showGridLines="0" workbookViewId="0"/>
  </sheetViews>
  <sheetFormatPr defaultRowHeight="16.5" x14ac:dyDescent="0.3"/>
  <cols>
    <col min="1" max="1" width="38" customWidth="1"/>
    <col min="2" max="6" width="13" customWidth="1"/>
  </cols>
  <sheetData>
    <row r="1" spans="1:6" ht="17.25" x14ac:dyDescent="0.3">
      <c r="A1" s="1" t="s">
        <v>153</v>
      </c>
    </row>
    <row r="2" spans="1:6" x14ac:dyDescent="0.3">
      <c r="A2" s="2" t="s">
        <v>154</v>
      </c>
    </row>
    <row r="4" spans="1:6" x14ac:dyDescent="0.3">
      <c r="A4" s="28" t="s">
        <v>155</v>
      </c>
      <c r="B4" s="29" t="s">
        <v>137</v>
      </c>
      <c r="C4" s="29" t="s">
        <v>138</v>
      </c>
      <c r="D4" s="29" t="s">
        <v>139</v>
      </c>
      <c r="E4" s="29" t="s">
        <v>140</v>
      </c>
      <c r="F4" s="29" t="s">
        <v>141</v>
      </c>
    </row>
    <row r="5" spans="1:6" x14ac:dyDescent="0.3">
      <c r="A5" s="35" t="s">
        <v>156</v>
      </c>
      <c r="B5" s="36">
        <f>B58</f>
        <v>3152.5968751061823</v>
      </c>
      <c r="C5" s="36">
        <f>C58</f>
        <v>3776.958896383996</v>
      </c>
      <c r="D5" s="36">
        <f>D58</f>
        <v>4364.872415390344</v>
      </c>
      <c r="E5" s="36">
        <f>E58</f>
        <v>4918.4651933800096</v>
      </c>
      <c r="F5" s="36">
        <f>F58</f>
        <v>5439.7407788781647</v>
      </c>
    </row>
    <row r="6" spans="1:6" x14ac:dyDescent="0.3">
      <c r="A6" s="6" t="s">
        <v>157</v>
      </c>
      <c r="B6" s="37">
        <f>LN(B59/B54)*IFERROR((B63-B58)/LN(B63/B58),B58)</f>
        <v>23.958776652745566</v>
      </c>
      <c r="C6" s="37">
        <f>LN(C59/C54)*IFERROR((C63-C58)/LN(C63/C58),C58)</f>
        <v>169.09500042763725</v>
      </c>
      <c r="D6" s="37">
        <f>LN(D59/D54)*IFERROR((D63-D58)/LN(D63/D58),D58)</f>
        <v>391.48673232519889</v>
      </c>
      <c r="E6" s="37">
        <f>LN(E59/E54)*IFERROR((E63-E58)/LN(E63/E58),E58)</f>
        <v>687.39287545284162</v>
      </c>
      <c r="F6" s="37">
        <f>LN(F59/F54)*IFERROR((F63-F58)/LN(F63/F58),F58)</f>
        <v>1007.7302271012156</v>
      </c>
    </row>
    <row r="7" spans="1:6" x14ac:dyDescent="0.3">
      <c r="A7" s="6" t="s">
        <v>158</v>
      </c>
      <c r="B7" s="37">
        <f>LN(B60/B55)*IFERROR((B63-B58)/LN(B63/B58),B58)</f>
        <v>32.84909153999682</v>
      </c>
      <c r="C7" s="37">
        <f>LN(C60/C55)*IFERROR((C63-C58)/LN(C63/C58),C58)</f>
        <v>220.26211421423696</v>
      </c>
      <c r="D7" s="37">
        <f>LN(D60/D55)*IFERROR((D63-D58)/LN(D63/D58),D58)</f>
        <v>486.78738011525638</v>
      </c>
      <c r="E7" s="37">
        <f>LN(E60/E55)*IFERROR((E63-E58)/LN(E63/E58),E58)</f>
        <v>821.76528734446083</v>
      </c>
      <c r="F7" s="37">
        <f>LN(F60/F55)*IFERROR((F63-F58)/LN(F63/F58),F58)</f>
        <v>1160.4981128931129</v>
      </c>
    </row>
    <row r="8" spans="1:6" x14ac:dyDescent="0.3">
      <c r="A8" s="6" t="s">
        <v>159</v>
      </c>
      <c r="B8" s="37">
        <f>LN(B61/B56)*IFERROR((B63-B58)/LN(B63/B58),B58)</f>
        <v>0</v>
      </c>
      <c r="C8" s="37">
        <f>LN(C61/C56)*IFERROR((C63-C58)/LN(C63/C58),C58)</f>
        <v>0</v>
      </c>
      <c r="D8" s="37">
        <f>LN(D61/D56)*IFERROR((D63-D58)/LN(D63/D58),D58)</f>
        <v>0</v>
      </c>
      <c r="E8" s="37">
        <f>LN(E61/E56)*IFERROR((E63-E58)/LN(E63/E58),E58)</f>
        <v>0</v>
      </c>
      <c r="F8" s="37">
        <f>LN(F61/F56)*IFERROR((F63-F58)/LN(F63/F58),F58)</f>
        <v>0</v>
      </c>
    </row>
    <row r="9" spans="1:6" x14ac:dyDescent="0.3">
      <c r="A9" s="6" t="s">
        <v>160</v>
      </c>
      <c r="B9" s="37">
        <f>LN(B62/B57)*IFERROR((B63-B58)/LN(B63/B58),B58)</f>
        <v>-7.0630529547563038E-13</v>
      </c>
      <c r="C9" s="37">
        <f>LN(C62/C57)*IFERROR((C63-C58)/LN(C63/C58),C58)</f>
        <v>-4.4058696102737769E-13</v>
      </c>
      <c r="D9" s="37">
        <f>LN(D62/D57)*IFERROR((D63-D58)/LN(D63/D58),D58)</f>
        <v>1.063726649316925E-12</v>
      </c>
      <c r="E9" s="37">
        <f>LN(E62/E57)*IFERROR((E63-E58)/LN(E63/E58),E58)</f>
        <v>1.252204807095854E-12</v>
      </c>
      <c r="F9" s="37">
        <f>LN(F62/F57)*IFERROR((F63-F58)/LN(F63/F58),F58)</f>
        <v>1.4351530257385313E-12</v>
      </c>
    </row>
    <row r="10" spans="1:6" x14ac:dyDescent="0.3">
      <c r="A10" s="35" t="s">
        <v>161</v>
      </c>
      <c r="B10" s="36">
        <f>B63</f>
        <v>3209.4047432989246</v>
      </c>
      <c r="C10" s="36">
        <f>C63</f>
        <v>4166.3160110258686</v>
      </c>
      <c r="D10" s="36">
        <f>D63</f>
        <v>5243.1465278308006</v>
      </c>
      <c r="E10" s="36">
        <f>E63</f>
        <v>6427.6233561773115</v>
      </c>
      <c r="F10" s="36">
        <f>F63</f>
        <v>7607.9691188724928</v>
      </c>
    </row>
    <row r="11" spans="1:6" x14ac:dyDescent="0.3">
      <c r="A11" s="6" t="s">
        <v>162</v>
      </c>
      <c r="B11" s="38">
        <f>SUM(B6:B9)-(B63-B58)</f>
        <v>-5.7553961596568115E-13</v>
      </c>
      <c r="C11" s="38">
        <f>SUM(C6:C9)-(C63-C58)</f>
        <v>1.1368683772161603E-12</v>
      </c>
      <c r="D11" s="38">
        <f>SUM(D6:D9)-(D63-D58)</f>
        <v>0</v>
      </c>
      <c r="E11" s="38">
        <f>SUM(E6:E9)-(E63-E58)</f>
        <v>1.8189894035458565E-12</v>
      </c>
      <c r="F11" s="38">
        <f>SUM(F6:F9)-(F63-F58)</f>
        <v>0</v>
      </c>
    </row>
    <row r="13" spans="1:6" x14ac:dyDescent="0.3">
      <c r="A13" s="28" t="s">
        <v>163</v>
      </c>
      <c r="B13" s="29" t="s">
        <v>137</v>
      </c>
      <c r="C13" s="29" t="s">
        <v>138</v>
      </c>
      <c r="D13" s="29" t="s">
        <v>139</v>
      </c>
      <c r="E13" s="29" t="s">
        <v>140</v>
      </c>
      <c r="F13" s="29" t="s">
        <v>141</v>
      </c>
    </row>
    <row r="14" spans="1:6" x14ac:dyDescent="0.3">
      <c r="A14" s="35" t="s">
        <v>164</v>
      </c>
      <c r="B14" s="36">
        <f>B63</f>
        <v>3209.4047432989246</v>
      </c>
      <c r="C14" s="36">
        <f>C63</f>
        <v>4166.3160110258686</v>
      </c>
      <c r="D14" s="36">
        <f>D63</f>
        <v>5243.1465278308006</v>
      </c>
      <c r="E14" s="36">
        <f>E63</f>
        <v>6427.6233561773115</v>
      </c>
      <c r="F14" s="36">
        <f>F63</f>
        <v>7607.9691188724928</v>
      </c>
    </row>
    <row r="15" spans="1:6" x14ac:dyDescent="0.3">
      <c r="A15" s="6" t="s">
        <v>157</v>
      </c>
      <c r="B15" s="37">
        <f>LN(B64/B59)*IFERROR((B68-B63)/LN(B68/B63),B63)</f>
        <v>19.195742937182128</v>
      </c>
      <c r="C15" s="37">
        <f>LN(C64/C59)*IFERROR((C68-C63)/LN(C68/C63),C63)</f>
        <v>170.67334685425496</v>
      </c>
      <c r="D15" s="37">
        <f>LN(D64/D59)*IFERROR((D68-D63)/LN(D68/D63),D63)</f>
        <v>419.52272902461954</v>
      </c>
      <c r="E15" s="37">
        <f>LN(E64/E59)*IFERROR((E68-E63)/LN(E68/E63),E63)</f>
        <v>765.12383950491869</v>
      </c>
      <c r="F15" s="37">
        <f>LN(F64/F59)*IFERROR((F68-F63)/LN(F68/F63),F63)</f>
        <v>1167.7768371554102</v>
      </c>
    </row>
    <row r="16" spans="1:6" x14ac:dyDescent="0.3">
      <c r="A16" s="6" t="s">
        <v>158</v>
      </c>
      <c r="B16" s="37">
        <f>LN(B65/B60)*IFERROR((B68-B63)/LN(B68/B63),B63)</f>
        <v>0.22788068923119931</v>
      </c>
      <c r="C16" s="37">
        <f>LN(C65/C60)*IFERROR((C68-C63)/LN(C68/C63),C63)</f>
        <v>0.62270685531523462</v>
      </c>
      <c r="D16" s="37">
        <f>LN(D65/D60)*IFERROR((D68-D63)/LN(D68/D63),D63)</f>
        <v>0.73689127979877334</v>
      </c>
      <c r="E16" s="37">
        <f>LN(E65/E60)*IFERROR((E68-E63)/LN(E68/E63),E63)</f>
        <v>0.84761006809770778</v>
      </c>
      <c r="F16" s="37">
        <f>LN(F65/F60)*IFERROR((F68-F63)/LN(F68/F63),F63)</f>
        <v>0.20697680088973477</v>
      </c>
    </row>
    <row r="17" spans="1:6" x14ac:dyDescent="0.3">
      <c r="A17" s="6" t="s">
        <v>159</v>
      </c>
      <c r="B17" s="37">
        <f>LN(B66/B61)*IFERROR((B68-B63)/LN(B68/B63),B63)</f>
        <v>145.72957053937637</v>
      </c>
      <c r="C17" s="37">
        <f>LN(C66/C61)*IFERROR((C68-C63)/LN(C68/C63),C63)</f>
        <v>353.54526168453464</v>
      </c>
      <c r="D17" s="37">
        <f>LN(D66/D61)*IFERROR((D68-D63)/LN(D68/D63),D63)</f>
        <v>453.22613832218138</v>
      </c>
      <c r="E17" s="37">
        <f>LN(E66/E61)*IFERROR((E68-E63)/LN(E68/E63),E63)</f>
        <v>565.66671195977324</v>
      </c>
      <c r="F17" s="37">
        <f>LN(F66/F61)*IFERROR((F68-F63)/LN(F68/F63),F63)</f>
        <v>679.90863608525069</v>
      </c>
    </row>
    <row r="18" spans="1:6" x14ac:dyDescent="0.3">
      <c r="A18" s="6" t="s">
        <v>160</v>
      </c>
      <c r="B18" s="37">
        <f>LN(B67/B62)*IFERROR((B68-B63)/LN(B68/B63),B63)</f>
        <v>-117.72305528059968</v>
      </c>
      <c r="C18" s="37">
        <f>LN(C67/C62)*IFERROR((C68-C63)/LN(C68/C63),C63)</f>
        <v>-284.56069066531074</v>
      </c>
      <c r="D18" s="37">
        <f>LN(D67/D62)*IFERROR((D68-D63)/LN(D68/D63),D63)</f>
        <v>-364.79160358147323</v>
      </c>
      <c r="E18" s="37">
        <f>LN(E67/E62)*IFERROR((E68-E63)/LN(E68/E63),E63)</f>
        <v>-455.29251184047286</v>
      </c>
      <c r="F18" s="37">
        <f>LN(F67/F62)*IFERROR((F68-F63)/LN(F68/F63),F63)</f>
        <v>-547.24328690442383</v>
      </c>
    </row>
    <row r="19" spans="1:6" x14ac:dyDescent="0.3">
      <c r="A19" s="35" t="s">
        <v>165</v>
      </c>
      <c r="B19" s="36">
        <f>B68</f>
        <v>3256.8348821841155</v>
      </c>
      <c r="C19" s="36">
        <f>C68</f>
        <v>4406.5966357546622</v>
      </c>
      <c r="D19" s="36">
        <f>D68</f>
        <v>5751.840682875928</v>
      </c>
      <c r="E19" s="36">
        <f>E68</f>
        <v>7303.9690058696278</v>
      </c>
      <c r="F19" s="36">
        <f>F68</f>
        <v>8908.6182820096219</v>
      </c>
    </row>
    <row r="20" spans="1:6" x14ac:dyDescent="0.3">
      <c r="A20" s="6" t="s">
        <v>162</v>
      </c>
      <c r="B20" s="38">
        <f>SUM(B15:B18)-(B68-B63)</f>
        <v>-8.8107299234252423E-13</v>
      </c>
      <c r="C20" s="38">
        <f>SUM(C15:C18)-(C68-C63)</f>
        <v>5.6843418860808015E-13</v>
      </c>
      <c r="D20" s="38">
        <f>SUM(D15:D18)-(D68-D63)</f>
        <v>-9.6633812063373625E-13</v>
      </c>
      <c r="E20" s="38">
        <f>SUM(E15:E18)-(E68-E63)</f>
        <v>0</v>
      </c>
      <c r="F20" s="38">
        <f>SUM(F15:F18)-(F68-F63)</f>
        <v>-2.2737367544323206E-12</v>
      </c>
    </row>
    <row r="22" spans="1:6" x14ac:dyDescent="0.3">
      <c r="A22" s="28" t="s">
        <v>166</v>
      </c>
      <c r="B22" s="29" t="s">
        <v>137</v>
      </c>
      <c r="C22" s="29" t="s">
        <v>138</v>
      </c>
      <c r="D22" s="29" t="s">
        <v>139</v>
      </c>
      <c r="E22" s="29" t="s">
        <v>140</v>
      </c>
      <c r="F22" s="29" t="s">
        <v>141</v>
      </c>
    </row>
    <row r="23" spans="1:6" x14ac:dyDescent="0.3">
      <c r="A23" s="35" t="s">
        <v>167</v>
      </c>
      <c r="B23" s="36">
        <f>B68</f>
        <v>3256.8348821841155</v>
      </c>
      <c r="C23" s="36">
        <f>C68</f>
        <v>4406.5966357546622</v>
      </c>
      <c r="D23" s="36">
        <f>D68</f>
        <v>5751.840682875928</v>
      </c>
      <c r="E23" s="36">
        <f>E68</f>
        <v>7303.9690058696278</v>
      </c>
      <c r="F23" s="36">
        <f>F68</f>
        <v>8908.6182820096219</v>
      </c>
    </row>
    <row r="24" spans="1:6" x14ac:dyDescent="0.3">
      <c r="A24" s="6" t="s">
        <v>157</v>
      </c>
      <c r="B24" s="37">
        <f>LN(B69/B64)*IFERROR((B73-B68)/LN(B73/B68),B68)</f>
        <v>45.060315467315583</v>
      </c>
      <c r="C24" s="37">
        <f>LN(C69/C64)*IFERROR((C73-C68)/LN(C73/C68),C68)</f>
        <v>283.28016895403545</v>
      </c>
      <c r="D24" s="37">
        <f>LN(D69/D64)*IFERROR((D73-D68)/LN(D73/D68),D68)</f>
        <v>540.82632273157765</v>
      </c>
      <c r="E24" s="37">
        <f>LN(E69/E64)*IFERROR((E73-E68)/LN(E73/E68),E68)</f>
        <v>844.18809898160418</v>
      </c>
      <c r="F24" s="37">
        <f>LN(F69/F64)*IFERROR((F73-F68)/LN(F73/F68),F68)</f>
        <v>1180.9616679121771</v>
      </c>
    </row>
    <row r="25" spans="1:6" x14ac:dyDescent="0.3">
      <c r="A25" s="6" t="s">
        <v>158</v>
      </c>
      <c r="B25" s="37">
        <f>LN(B70/B65)*IFERROR((B73-B68)/LN(B73/B68),B68)</f>
        <v>0.42870287652403943</v>
      </c>
      <c r="C25" s="37">
        <f>LN(C70/C65)*IFERROR((C73-C68)/LN(C73/C68),C68)</f>
        <v>0.65322601418784154</v>
      </c>
      <c r="D25" s="37">
        <f>LN(D70/D65)*IFERROR((D73-D68)/LN(D73/D68),D68)</f>
        <v>0.50482412821777101</v>
      </c>
      <c r="E25" s="37">
        <f>LN(E70/E65)*IFERROR((E73-E68)/LN(E73/E68),E68)</f>
        <v>0.46870437456757291</v>
      </c>
      <c r="F25" s="37">
        <f>LN(F70/F65)*IFERROR((F73-F68)/LN(F73/F68),F68)</f>
        <v>0.13920448001575733</v>
      </c>
    </row>
    <row r="26" spans="1:6" x14ac:dyDescent="0.3">
      <c r="A26" s="6" t="s">
        <v>159</v>
      </c>
      <c r="B26" s="37">
        <f>LN(B71/B66)*IFERROR((B73-B68)/LN(B73/B68),B68)</f>
        <v>1.4693187304141953</v>
      </c>
      <c r="C26" s="37">
        <f>LN(C71/C66)*IFERROR((C73-C68)/LN(C73/C68),C68)</f>
        <v>0</v>
      </c>
      <c r="D26" s="37">
        <f>LN(D71/D66)*IFERROR((D73-D68)/LN(D73/D68),D68)</f>
        <v>-1.3363641943851616E-12</v>
      </c>
      <c r="E26" s="37">
        <f>LN(E71/E66)*IFERROR((E73-E68)/LN(E73/E68),E68)</f>
        <v>0</v>
      </c>
      <c r="F26" s="37">
        <f>LN(F71/F66)*IFERROR((F73-F68)/LN(F73/F68),F68)</f>
        <v>0</v>
      </c>
    </row>
    <row r="27" spans="1:6" x14ac:dyDescent="0.3">
      <c r="A27" s="6" t="s">
        <v>160</v>
      </c>
      <c r="B27" s="37">
        <f>LN(B72/B67)*IFERROR((B73-B68)/LN(B73/B68),B68)</f>
        <v>-1.1817265570793034</v>
      </c>
      <c r="C27" s="37">
        <f>LN(C72/C67)*IFERROR((C73-C68)/LN(C73/C68),C68)</f>
        <v>-1.5144838582191895E-12</v>
      </c>
      <c r="D27" s="37">
        <f>LN(D72/D67)*IFERROR((D73-D68)/LN(D73/D68),D68)</f>
        <v>1.3363641943851614E-12</v>
      </c>
      <c r="E27" s="37">
        <f>LN(E72/E67)*IFERROR((E73-E68)/LN(E73/E68),E68)</f>
        <v>-2.57080899225098E-12</v>
      </c>
      <c r="F27" s="37">
        <f>LN(F72/F67)*IFERROR((F73-F68)/LN(F73/F68),F68)</f>
        <v>-1.0532594988435953E-12</v>
      </c>
    </row>
    <row r="28" spans="1:6" x14ac:dyDescent="0.3">
      <c r="A28" s="35" t="s">
        <v>168</v>
      </c>
      <c r="B28" s="36">
        <f>B73</f>
        <v>3302.6114927012886</v>
      </c>
      <c r="C28" s="36">
        <f>C73</f>
        <v>4690.5300307228845</v>
      </c>
      <c r="D28" s="36">
        <f>D73</f>
        <v>6293.171829735722</v>
      </c>
      <c r="E28" s="36">
        <f>E73</f>
        <v>8148.6258092257995</v>
      </c>
      <c r="F28" s="36">
        <f>F73</f>
        <v>10089.719154401811</v>
      </c>
    </row>
    <row r="29" spans="1:6" x14ac:dyDescent="0.3">
      <c r="A29" s="6" t="s">
        <v>162</v>
      </c>
      <c r="B29" s="38">
        <f>SUM(B24:B27)-(B73-B68)</f>
        <v>1.3784529073745944E-12</v>
      </c>
      <c r="C29" s="38">
        <f>SUM(C24:C27)-(C73-C68)</f>
        <v>-5.1159076974727213E-13</v>
      </c>
      <c r="D29" s="38">
        <f>SUM(D24:D27)-(D73-D68)</f>
        <v>1.4779288903810084E-12</v>
      </c>
      <c r="E29" s="38">
        <f>SUM(E24:E27)-(E73-E68)</f>
        <v>-2.5011104298755527E-12</v>
      </c>
      <c r="F29" s="38">
        <f>SUM(F24:F27)-(F73-F68)</f>
        <v>2.0463630789890885E-12</v>
      </c>
    </row>
    <row r="31" spans="1:6" x14ac:dyDescent="0.3">
      <c r="A31" s="28" t="s">
        <v>169</v>
      </c>
      <c r="B31" s="29" t="s">
        <v>137</v>
      </c>
      <c r="C31" s="29" t="s">
        <v>138</v>
      </c>
      <c r="D31" s="29" t="s">
        <v>139</v>
      </c>
      <c r="E31" s="29" t="s">
        <v>140</v>
      </c>
      <c r="F31" s="29" t="s">
        <v>141</v>
      </c>
    </row>
    <row r="32" spans="1:6" x14ac:dyDescent="0.3">
      <c r="A32" s="35" t="s">
        <v>156</v>
      </c>
      <c r="B32" s="36">
        <f>B58</f>
        <v>3152.5968751061823</v>
      </c>
      <c r="C32" s="36">
        <f>C58</f>
        <v>3776.958896383996</v>
      </c>
      <c r="D32" s="36">
        <f>D58</f>
        <v>4364.872415390344</v>
      </c>
      <c r="E32" s="36">
        <f>E58</f>
        <v>4918.4651933800096</v>
      </c>
      <c r="F32" s="36">
        <f>F58</f>
        <v>5439.7407788781647</v>
      </c>
    </row>
    <row r="33" spans="1:6" x14ac:dyDescent="0.3">
      <c r="A33" s="6" t="s">
        <v>157</v>
      </c>
      <c r="B33" s="37">
        <f>LN(B69/B54)*IFERROR((B73-B58)/LN(B73/B58),B58)</f>
        <v>87.802928531467543</v>
      </c>
      <c r="C33" s="37">
        <f>LN(C69/C54)*IFERROR((C73-C58)/LN(C73/C58),C58)</f>
        <v>610.39173136390355</v>
      </c>
      <c r="D33" s="37">
        <f>LN(D69/D54)*IFERROR((D73-D58)/LN(D73/D58),D58)</f>
        <v>1306.7717094328013</v>
      </c>
      <c r="E33" s="37">
        <f>LN(E69/E54)*IFERROR((E73-E58)/LN(E73/E58),E58)</f>
        <v>2193.6485481277045</v>
      </c>
      <c r="F33" s="37">
        <f>LN(F69/F54)*IFERROR((F73-F58)/LN(F73/F58),F58)</f>
        <v>3177.0641306756138</v>
      </c>
    </row>
    <row r="34" spans="1:6" x14ac:dyDescent="0.3">
      <c r="A34" s="6" t="s">
        <v>158</v>
      </c>
      <c r="B34" s="37">
        <f>LN(B70/B55)*IFERROR((B73-B58)/LN(B73/B58),B58)</f>
        <v>33.974509245620418</v>
      </c>
      <c r="C34" s="37">
        <f>LN(C70/C55)*IFERROR((C73-C58)/LN(C73/C58),C58)</f>
        <v>235.29058360747439</v>
      </c>
      <c r="D34" s="37">
        <f>LN(D70/D55)*IFERROR((D73-D58)/LN(D73/D58),D58)</f>
        <v>536.68635367649097</v>
      </c>
      <c r="E34" s="37">
        <f>LN(E70/E55)*IFERROR((E73-E58)/LN(E73/E58),E58)</f>
        <v>933.51456412028756</v>
      </c>
      <c r="F34" s="37">
        <f>LN(F70/F55)*IFERROR((F73-F58)/LN(F73/F58),F58)</f>
        <v>1351.7483248988121</v>
      </c>
    </row>
    <row r="35" spans="1:6" x14ac:dyDescent="0.3">
      <c r="A35" s="6" t="s">
        <v>159</v>
      </c>
      <c r="B35" s="37">
        <f>LN(B71/B56)*IFERROR((B73-B58)/LN(B73/B58),B58)</f>
        <v>146.90310688529235</v>
      </c>
      <c r="C35" s="37">
        <f>LN(C71/C56)*IFERROR((C73-C58)/LN(C73/C58),C58)</f>
        <v>347.92954502903223</v>
      </c>
      <c r="D35" s="37">
        <f>LN(D71/D56)*IFERROR((D73-D58)/LN(D73/D58),D58)</f>
        <v>434.81110748769584</v>
      </c>
      <c r="E35" s="37">
        <f>LN(E71/E56)*IFERROR((E73-E58)/LN(E73/E58),E58)</f>
        <v>527.86121337465772</v>
      </c>
      <c r="F35" s="37">
        <f>LN(F71/F56)*IFERROR((F73-F58)/LN(F73/F58),F58)</f>
        <v>620.97417209072273</v>
      </c>
    </row>
    <row r="36" spans="1:6" x14ac:dyDescent="0.3">
      <c r="A36" s="6" t="s">
        <v>160</v>
      </c>
      <c r="B36" s="37">
        <f>LN(B72/B57)*IFERROR((B73-B58)/LN(B73/B58),B58)</f>
        <v>-118.66592706727387</v>
      </c>
      <c r="C36" s="37">
        <f>LN(C72/C57)*IFERROR((C73-C58)/LN(C73/C58),C58)</f>
        <v>-280.04072566152109</v>
      </c>
      <c r="D36" s="37">
        <f>LN(D72/D57)*IFERROR((D73-D58)/LN(D73/D58),D58)</f>
        <v>-349.96975625160968</v>
      </c>
      <c r="E36" s="37">
        <f>LN(E72/E57)*IFERROR((E73-E58)/LN(E73/E58),E58)</f>
        <v>-424.86370977686067</v>
      </c>
      <c r="F36" s="37">
        <f>LN(F72/F57)*IFERROR((F73-F58)/LN(F73/F58),F58)</f>
        <v>-499.80825214150019</v>
      </c>
    </row>
    <row r="37" spans="1:6" x14ac:dyDescent="0.3">
      <c r="A37" s="35" t="s">
        <v>168</v>
      </c>
      <c r="B37" s="36">
        <f>B73</f>
        <v>3302.6114927012886</v>
      </c>
      <c r="C37" s="36">
        <f>C73</f>
        <v>4690.5300307228845</v>
      </c>
      <c r="D37" s="36">
        <f>D73</f>
        <v>6293.171829735722</v>
      </c>
      <c r="E37" s="36">
        <f>E73</f>
        <v>8148.6258092257995</v>
      </c>
      <c r="F37" s="36">
        <f>F73</f>
        <v>10089.719154401811</v>
      </c>
    </row>
    <row r="38" spans="1:6" x14ac:dyDescent="0.3">
      <c r="A38" s="6" t="s">
        <v>162</v>
      </c>
      <c r="B38" s="38">
        <f>SUM(B33:B36)-(B73-B58)</f>
        <v>0</v>
      </c>
      <c r="C38" s="38">
        <f>SUM(C33:C36)-(C73-C58)</f>
        <v>0</v>
      </c>
      <c r="D38" s="38">
        <f>SUM(D33:D36)-(D73-D58)</f>
        <v>0</v>
      </c>
      <c r="E38" s="38">
        <f>SUM(E33:E36)-(E73-E58)</f>
        <v>0</v>
      </c>
      <c r="F38" s="38">
        <f>SUM(F33:F36)-(F73-F58)</f>
        <v>0</v>
      </c>
    </row>
    <row r="52" spans="1:6" x14ac:dyDescent="0.3">
      <c r="A52" s="14" t="s">
        <v>170</v>
      </c>
    </row>
    <row r="53" spans="1:6" x14ac:dyDescent="0.3">
      <c r="B53" s="14" t="s">
        <v>137</v>
      </c>
      <c r="C53" s="14" t="s">
        <v>138</v>
      </c>
      <c r="D53" s="14" t="s">
        <v>139</v>
      </c>
      <c r="E53" s="14" t="s">
        <v>140</v>
      </c>
      <c r="F53" s="14" t="s">
        <v>141</v>
      </c>
    </row>
    <row r="54" spans="1:6" x14ac:dyDescent="0.3">
      <c r="A54" s="2" t="s">
        <v>171</v>
      </c>
      <c r="B54" s="39">
        <f>SUMIFS(S1_현재기준!$O$4:$O$63,S1_현재기준!$B$4:$B$63,2027)</f>
        <v>729.59901316953471</v>
      </c>
      <c r="C54" s="39">
        <f>SUMIFS(S1_현재기준!$O$4:$O$63,S1_현재기준!$B$4:$B$63,2028)</f>
        <v>874.09383208591964</v>
      </c>
      <c r="D54" s="39">
        <f>SUMIFS(S1_현재기준!$O$4:$O$63,S1_현재기준!$B$4:$B$63,2029)</f>
        <v>1010.1534490585504</v>
      </c>
      <c r="E54" s="39">
        <f>SUMIFS(S1_현재기준!$O$4:$O$63,S1_현재기준!$B$4:$B$63,2030)</f>
        <v>1138.2702875000139</v>
      </c>
      <c r="F54" s="39">
        <f>SUMIFS(S1_현재기준!$O$4:$O$63,S1_현재기준!$B$4:$B$63,2031)</f>
        <v>1258.9080245262601</v>
      </c>
    </row>
    <row r="55" spans="1:6" x14ac:dyDescent="0.3">
      <c r="A55" s="2" t="s">
        <v>172</v>
      </c>
      <c r="B55" s="40">
        <f>SUMIFS(S1_현재기준!$Z$4:$Z$63,S1_현재기준!$B$4:$B$63,2027)/SUMIFS(S1_현재기준!$O$4:$O$63,S1_현재기준!$B$4:$B$63,2027)</f>
        <v>1.2889999999999997</v>
      </c>
      <c r="C55" s="40">
        <f>SUMIFS(S1_현재기준!$Z$4:$Z$63,S1_현재기준!$B$4:$B$63,2028)/SUMIFS(S1_현재기준!$O$4:$O$63,S1_현재기준!$B$4:$B$63,2028)</f>
        <v>1.2889999999999997</v>
      </c>
      <c r="D55" s="40">
        <f>SUMIFS(S1_현재기준!$Z$4:$Z$63,S1_현재기준!$B$4:$B$63,2029)/SUMIFS(S1_현재기준!$O$4:$O$63,S1_현재기준!$B$4:$B$63,2029)</f>
        <v>1.2889999999999999</v>
      </c>
      <c r="E55" s="40">
        <f>SUMIFS(S1_현재기준!$Z$4:$Z$63,S1_현재기준!$B$4:$B$63,2030)/SUMIFS(S1_현재기준!$O$4:$O$63,S1_현재기준!$B$4:$B$63,2030)</f>
        <v>1.2889999999999999</v>
      </c>
      <c r="F55" s="40">
        <f>SUMIFS(S1_현재기준!$Z$4:$Z$63,S1_현재기준!$B$4:$B$63,2031)/SUMIFS(S1_현재기준!$O$4:$O$63,S1_현재기준!$B$4:$B$63,2031)</f>
        <v>1.2889999999999999</v>
      </c>
    </row>
    <row r="56" spans="1:6" x14ac:dyDescent="0.3">
      <c r="A56" s="2" t="s">
        <v>173</v>
      </c>
      <c r="B56" s="40">
        <f>(SUMIFS(S1_현재기준!$S$4:$S$63,S1_현재기준!$B$4:$B$63,2027)/SUMIFS(S1_현재기준!$O$4:$O$63,S1_현재기준!$B$4:$B$63,2027))/(SUMIFS(S1_현재기준!$Z$4:$Z$63,S1_현재기준!$B$4:$B$63,2027)/SUMIFS(S1_현재기준!$O$4:$O$63,S1_현재기준!$B$4:$B$63,2027))</f>
        <v>1</v>
      </c>
      <c r="C56" s="40">
        <f>(SUMIFS(S1_현재기준!$S$4:$S$63,S1_현재기준!$B$4:$B$63,2028)/SUMIFS(S1_현재기준!$O$4:$O$63,S1_현재기준!$B$4:$B$63,2028))/(SUMIFS(S1_현재기준!$Z$4:$Z$63,S1_현재기준!$B$4:$B$63,2028)/SUMIFS(S1_현재기준!$O$4:$O$63,S1_현재기준!$B$4:$B$63,2028))</f>
        <v>1</v>
      </c>
      <c r="D56" s="40">
        <f>(SUMIFS(S1_현재기준!$S$4:$S$63,S1_현재기준!$B$4:$B$63,2029)/SUMIFS(S1_현재기준!$O$4:$O$63,S1_현재기준!$B$4:$B$63,2029))/(SUMIFS(S1_현재기준!$Z$4:$Z$63,S1_현재기준!$B$4:$B$63,2029)/SUMIFS(S1_현재기준!$O$4:$O$63,S1_현재기준!$B$4:$B$63,2029))</f>
        <v>1</v>
      </c>
      <c r="E56" s="40">
        <f>(SUMIFS(S1_현재기준!$S$4:$S$63,S1_현재기준!$B$4:$B$63,2030)/SUMIFS(S1_현재기준!$O$4:$O$63,S1_현재기준!$B$4:$B$63,2030))/(SUMIFS(S1_현재기준!$Z$4:$Z$63,S1_현재기준!$B$4:$B$63,2030)/SUMIFS(S1_현재기준!$O$4:$O$63,S1_현재기준!$B$4:$B$63,2030))</f>
        <v>1</v>
      </c>
      <c r="F56" s="40">
        <f>(SUMIFS(S1_현재기준!$S$4:$S$63,S1_현재기준!$B$4:$B$63,2031)/SUMIFS(S1_현재기준!$O$4:$O$63,S1_현재기준!$B$4:$B$63,2031))/(SUMIFS(S1_현재기준!$Z$4:$Z$63,S1_현재기준!$B$4:$B$63,2031)/SUMIFS(S1_현재기준!$O$4:$O$63,S1_현재기준!$B$4:$B$63,2031))</f>
        <v>1</v>
      </c>
    </row>
    <row r="57" spans="1:6" x14ac:dyDescent="0.3">
      <c r="A57" s="2" t="s">
        <v>174</v>
      </c>
      <c r="B57" s="39">
        <f>SUMIFS(S1_현재기준!$U$4:$U$63,S1_현재기준!$B$4:$B$63,2027)*10000/SUMIFS(S1_현재기준!$S$4:$S$63,S1_현재기준!$B$4:$B$63,2027)</f>
        <v>31846.000000000007</v>
      </c>
      <c r="C57" s="39">
        <f>SUMIFS(S1_현재기준!$U$4:$U$63,S1_현재기준!$B$4:$B$63,2028)*10000/SUMIFS(S1_현재기준!$S$4:$S$63,S1_현재기준!$B$4:$B$63,2028)</f>
        <v>31845.999999999996</v>
      </c>
      <c r="D57" s="39">
        <f>SUMIFS(S1_현재기준!$U$4:$U$63,S1_현재기준!$B$4:$B$63,2029)*10000/SUMIFS(S1_현재기준!$S$4:$S$63,S1_현재기준!$B$4:$B$63,2029)</f>
        <v>31845.999999999996</v>
      </c>
      <c r="E57" s="39">
        <f>SUMIFS(S1_현재기준!$U$4:$U$63,S1_현재기준!$B$4:$B$63,2030)*10000/SUMIFS(S1_현재기준!$S$4:$S$63,S1_현재기준!$B$4:$B$63,2030)</f>
        <v>31845.999999999996</v>
      </c>
      <c r="F57" s="39">
        <f>SUMIFS(S1_현재기준!$U$4:$U$63,S1_현재기준!$B$4:$B$63,2031)*10000/SUMIFS(S1_현재기준!$S$4:$S$63,S1_현재기준!$B$4:$B$63,2031)</f>
        <v>31845.999999999993</v>
      </c>
    </row>
    <row r="58" spans="1:6" x14ac:dyDescent="0.3">
      <c r="A58" s="2" t="s">
        <v>175</v>
      </c>
      <c r="B58" s="39">
        <f>SUMIFS(S1_현재기준!$V$4:$V$63,S1_현재기준!$B$4:$B$63,2027)</f>
        <v>3152.5968751061823</v>
      </c>
      <c r="C58" s="39">
        <f>SUMIFS(S1_현재기준!$V$4:$V$63,S1_현재기준!$B$4:$B$63,2028)</f>
        <v>3776.958896383996</v>
      </c>
      <c r="D58" s="39">
        <f>SUMIFS(S1_현재기준!$V$4:$V$63,S1_현재기준!$B$4:$B$63,2029)</f>
        <v>4364.872415390344</v>
      </c>
      <c r="E58" s="39">
        <f>SUMIFS(S1_현재기준!$V$4:$V$63,S1_현재기준!$B$4:$B$63,2030)</f>
        <v>4918.4651933800096</v>
      </c>
      <c r="F58" s="39">
        <f>SUMIFS(S1_현재기준!$V$4:$V$63,S1_현재기준!$B$4:$B$63,2031)</f>
        <v>5439.7407788781647</v>
      </c>
    </row>
    <row r="59" spans="1:6" x14ac:dyDescent="0.3">
      <c r="A59" s="2" t="s">
        <v>176</v>
      </c>
      <c r="B59" s="39">
        <f>SUMIFS(S2_익일!$O$4:$O$63,S2_익일!$B$4:$B$63,2027)</f>
        <v>735.11512709912881</v>
      </c>
      <c r="C59" s="39">
        <f>SUMIFS(S2_익일!$O$4:$O$63,S2_익일!$B$4:$B$63,2028)</f>
        <v>912.14367461262214</v>
      </c>
      <c r="D59" s="39">
        <f>SUMIFS(S2_익일!$O$4:$O$63,S2_익일!$B$4:$B$63,2029)</f>
        <v>1096.1697277063035</v>
      </c>
      <c r="E59" s="39">
        <f>SUMIFS(S2_익일!$O$4:$O$63,S2_익일!$B$4:$B$63,2030)</f>
        <v>1285.8247303936969</v>
      </c>
      <c r="F59" s="39">
        <f>SUMIFS(S2_익일!$O$4:$O$63,S2_익일!$B$4:$B$63,2031)</f>
        <v>1471.3187742417178</v>
      </c>
    </row>
    <row r="60" spans="1:6" x14ac:dyDescent="0.3">
      <c r="A60" s="2" t="s">
        <v>177</v>
      </c>
      <c r="B60" s="40">
        <f>SUMIFS(S2_익일!$Z$4:$Z$63,S2_익일!$B$4:$B$63,2027)/SUMIFS(S2_익일!$O$4:$O$63,S2_익일!$B$4:$B$63,2027)</f>
        <v>1.3023803796923077</v>
      </c>
      <c r="C60" s="40">
        <f>SUMIFS(S2_익일!$Z$4:$Z$63,S2_익일!$B$4:$B$63,2028)/SUMIFS(S2_익일!$O$4:$O$63,S2_익일!$B$4:$B$63,2028)</f>
        <v>1.3625663876927547</v>
      </c>
      <c r="D60" s="40">
        <f>SUMIFS(S2_익일!$Z$4:$Z$63,S2_익일!$B$4:$B$63,2029)/SUMIFS(S2_익일!$O$4:$O$63,S2_익일!$B$4:$B$63,2029)</f>
        <v>1.4268650658659154</v>
      </c>
      <c r="E60" s="40">
        <f>SUMIFS(S2_익일!$Z$4:$Z$63,S2_익일!$B$4:$B$63,2030)/SUMIFS(S2_익일!$O$4:$O$63,S2_익일!$B$4:$B$63,2030)</f>
        <v>1.4912050315040679</v>
      </c>
      <c r="F60" s="40">
        <f>SUMIFS(S2_익일!$Z$4:$Z$63,S2_익일!$B$4:$B$63,2031)/SUMIFS(S2_익일!$O$4:$O$63,S2_익일!$B$4:$B$63,2031)</f>
        <v>1.542519556906728</v>
      </c>
    </row>
    <row r="61" spans="1:6" x14ac:dyDescent="0.3">
      <c r="A61" s="2" t="s">
        <v>178</v>
      </c>
      <c r="B61" s="40">
        <f>(SUMIFS(S2_익일!$S$4:$S$63,S2_익일!$B$4:$B$63,2027)/SUMIFS(S2_익일!$O$4:$O$63,S2_익일!$B$4:$B$63,2027))/(SUMIFS(S2_익일!$Z$4:$Z$63,S2_익일!$B$4:$B$63,2027)/SUMIFS(S2_익일!$O$4:$O$63,S2_익일!$B$4:$B$63,2027))</f>
        <v>1</v>
      </c>
      <c r="C61" s="40">
        <f>(SUMIFS(S2_익일!$S$4:$S$63,S2_익일!$B$4:$B$63,2028)/SUMIFS(S2_익일!$O$4:$O$63,S2_익일!$B$4:$B$63,2028))/(SUMIFS(S2_익일!$Z$4:$Z$63,S2_익일!$B$4:$B$63,2028)/SUMIFS(S2_익일!$O$4:$O$63,S2_익일!$B$4:$B$63,2028))</f>
        <v>1</v>
      </c>
      <c r="D61" s="40">
        <f>(SUMIFS(S2_익일!$S$4:$S$63,S2_익일!$B$4:$B$63,2029)/SUMIFS(S2_익일!$O$4:$O$63,S2_익일!$B$4:$B$63,2029))/(SUMIFS(S2_익일!$Z$4:$Z$63,S2_익일!$B$4:$B$63,2029)/SUMIFS(S2_익일!$O$4:$O$63,S2_익일!$B$4:$B$63,2029))</f>
        <v>1</v>
      </c>
      <c r="E61" s="40">
        <f>(SUMIFS(S2_익일!$S$4:$S$63,S2_익일!$B$4:$B$63,2030)/SUMIFS(S2_익일!$O$4:$O$63,S2_익일!$B$4:$B$63,2030))/(SUMIFS(S2_익일!$Z$4:$Z$63,S2_익일!$B$4:$B$63,2030)/SUMIFS(S2_익일!$O$4:$O$63,S2_익일!$B$4:$B$63,2030))</f>
        <v>1</v>
      </c>
      <c r="F61" s="40">
        <f>(SUMIFS(S2_익일!$S$4:$S$63,S2_익일!$B$4:$B$63,2031)/SUMIFS(S2_익일!$O$4:$O$63,S2_익일!$B$4:$B$63,2031))/(SUMIFS(S2_익일!$Z$4:$Z$63,S2_익일!$B$4:$B$63,2031)/SUMIFS(S2_익일!$O$4:$O$63,S2_익일!$B$4:$B$63,2031))</f>
        <v>1</v>
      </c>
    </row>
    <row r="62" spans="1:6" x14ac:dyDescent="0.3">
      <c r="A62" s="2" t="s">
        <v>179</v>
      </c>
      <c r="B62" s="39">
        <f>SUMIFS(S2_익일!$U$4:$U$63,S2_익일!$B$4:$B$63,2027)*10000/SUMIFS(S2_익일!$S$4:$S$63,S2_익일!$B$4:$B$63,2027)</f>
        <v>31846</v>
      </c>
      <c r="C62" s="39">
        <f>SUMIFS(S2_익일!$U$4:$U$63,S2_익일!$B$4:$B$63,2028)*10000/SUMIFS(S2_익일!$S$4:$S$63,S2_익일!$B$4:$B$63,2028)</f>
        <v>31845.999999999993</v>
      </c>
      <c r="D62" s="39">
        <f>SUMIFS(S2_익일!$U$4:$U$63,S2_익일!$B$4:$B$63,2029)*10000/SUMIFS(S2_익일!$S$4:$S$63,S2_익일!$B$4:$B$63,2029)</f>
        <v>31846.000000000004</v>
      </c>
      <c r="E62" s="39">
        <f>SUMIFS(S2_익일!$U$4:$U$63,S2_익일!$B$4:$B$63,2030)*10000/SUMIFS(S2_익일!$S$4:$S$63,S2_익일!$B$4:$B$63,2030)</f>
        <v>31846.000000000004</v>
      </c>
      <c r="F62" s="39">
        <f>SUMIFS(S2_익일!$U$4:$U$63,S2_익일!$B$4:$B$63,2031)*10000/SUMIFS(S2_익일!$S$4:$S$63,S2_익일!$B$4:$B$63,2031)</f>
        <v>31845.999999999996</v>
      </c>
    </row>
    <row r="63" spans="1:6" x14ac:dyDescent="0.3">
      <c r="A63" s="2" t="s">
        <v>180</v>
      </c>
      <c r="B63" s="39">
        <f>SUMIFS(S2_익일!$V$4:$V$63,S2_익일!$B$4:$B$63,2027)</f>
        <v>3209.4047432989246</v>
      </c>
      <c r="C63" s="39">
        <f>SUMIFS(S2_익일!$V$4:$V$63,S2_익일!$B$4:$B$63,2028)</f>
        <v>4166.3160110258686</v>
      </c>
      <c r="D63" s="39">
        <f>SUMIFS(S2_익일!$V$4:$V$63,S2_익일!$B$4:$B$63,2029)</f>
        <v>5243.1465278308006</v>
      </c>
      <c r="E63" s="39">
        <f>SUMIFS(S2_익일!$V$4:$V$63,S2_익일!$B$4:$B$63,2030)</f>
        <v>6427.6233561773115</v>
      </c>
      <c r="F63" s="39">
        <f>SUMIFS(S2_익일!$V$4:$V$63,S2_익일!$B$4:$B$63,2031)</f>
        <v>7607.9691188724928</v>
      </c>
    </row>
    <row r="64" spans="1:6" x14ac:dyDescent="0.3">
      <c r="A64" s="2" t="s">
        <v>181</v>
      </c>
      <c r="B64" s="39">
        <f>SUMIFS(S3_익일무배!$O$4:$O$63,S3_익일무배!$B$4:$B$63,2027)</f>
        <v>739.49272822063881</v>
      </c>
      <c r="C64" s="39">
        <f>SUMIFS(S3_익일무배!$O$4:$O$63,S3_익일무배!$B$4:$B$63,2028)</f>
        <v>949.20503945243001</v>
      </c>
      <c r="D64" s="39">
        <f>SUMIFS(S3_익일무배!$O$4:$O$63,S3_익일무배!$B$4:$B$63,2029)</f>
        <v>1183.1592516676264</v>
      </c>
      <c r="E64" s="39">
        <f>SUMIFS(S3_익일무배!$O$4:$O$63,S3_익일무배!$B$4:$B$63,2030)</f>
        <v>1437.6242465238408</v>
      </c>
      <c r="F64" s="39">
        <f>SUMIFS(S3_익일무배!$O$4:$O$63,S3_익일무배!$B$4:$B$63,2031)</f>
        <v>1695.2989004645779</v>
      </c>
    </row>
    <row r="65" spans="1:6" x14ac:dyDescent="0.3">
      <c r="A65" s="2" t="s">
        <v>182</v>
      </c>
      <c r="B65" s="40">
        <f>SUMIFS(S3_익일무배!$Z$4:$Z$63,S3_익일무배!$B$4:$B$63,2027)/SUMIFS(S3_익일무배!$O$4:$O$63,S3_익일무배!$B$4:$B$63,2027)</f>
        <v>1.3024721805343673</v>
      </c>
      <c r="C65" s="40">
        <f>SUMIFS(S3_익일무배!$Z$4:$Z$63,S3_익일무배!$B$4:$B$63,2028)/SUMIFS(S3_익일무배!$O$4:$O$63,S3_익일무배!$B$4:$B$63,2028)</f>
        <v>1.3627643981972242</v>
      </c>
      <c r="D65" s="40">
        <f>SUMIFS(S3_익일무배!$Z$4:$Z$63,S3_익일무배!$B$4:$B$63,2029)/SUMIFS(S3_익일무배!$O$4:$O$63,S3_익일무배!$B$4:$B$63,2029)</f>
        <v>1.4270564742163776</v>
      </c>
      <c r="E65" s="40">
        <f>SUMIFS(S3_익일무배!$Z$4:$Z$63,S3_익일무배!$B$4:$B$63,2030)/SUMIFS(S3_익일무배!$O$4:$O$63,S3_익일무배!$B$4:$B$63,2030)</f>
        <v>1.4913893886889775</v>
      </c>
      <c r="F65" s="40">
        <f>SUMIFS(S3_익일무배!$Z$4:$Z$63,S3_익일무배!$B$4:$B$63,2031)/SUMIFS(S3_익일무배!$O$4:$O$63,S3_익일무배!$B$4:$B$63,2031)</f>
        <v>1.542558297621019</v>
      </c>
    </row>
    <row r="66" spans="1:6" x14ac:dyDescent="0.3">
      <c r="A66" s="2" t="s">
        <v>183</v>
      </c>
      <c r="B66" s="40">
        <f>(SUMIFS(S3_익일무배!$S$4:$S$63,S3_익일무배!$B$4:$B$63,2027)/SUMIFS(S3_익일무배!$O$4:$O$63,S3_익일무배!$B$4:$B$63,2027))/(SUMIFS(S3_익일무배!$Z$4:$Z$63,S3_익일무배!$B$4:$B$63,2027)/SUMIFS(S3_익일무배!$O$4:$O$63,S3_익일무배!$B$4:$B$63,2027))</f>
        <v>1.0461060912375555</v>
      </c>
      <c r="C66" s="40">
        <f>(SUMIFS(S3_익일무배!$S$4:$S$63,S3_익일무배!$B$4:$B$63,2028)/SUMIFS(S3_익일무배!$O$4:$O$63,S3_익일무배!$B$4:$B$63,2028))/(SUMIFS(S3_익일무배!$Z$4:$Z$63,S3_익일무배!$B$4:$B$63,2028)/SUMIFS(S3_익일무배!$O$4:$O$63,S3_익일무배!$B$4:$B$63,2028))</f>
        <v>1.0860000000000001</v>
      </c>
      <c r="D66" s="40">
        <f>(SUMIFS(S3_익일무배!$S$4:$S$63,S3_익일무배!$B$4:$B$63,2029)/SUMIFS(S3_익일무배!$O$4:$O$63,S3_익일무배!$B$4:$B$63,2029))/(SUMIFS(S3_익일무배!$Z$4:$Z$63,S3_익일무배!$B$4:$B$63,2029)/SUMIFS(S3_익일무배!$O$4:$O$63,S3_익일무배!$B$4:$B$63,2029))</f>
        <v>1.0860000000000001</v>
      </c>
      <c r="E66" s="40">
        <f>(SUMIFS(S3_익일무배!$S$4:$S$63,S3_익일무배!$B$4:$B$63,2030)/SUMIFS(S3_익일무배!$O$4:$O$63,S3_익일무배!$B$4:$B$63,2030))/(SUMIFS(S3_익일무배!$Z$4:$Z$63,S3_익일무배!$B$4:$B$63,2030)/SUMIFS(S3_익일무배!$O$4:$O$63,S3_익일무배!$B$4:$B$63,2030))</f>
        <v>1.0860000000000001</v>
      </c>
      <c r="F66" s="40">
        <f>(SUMIFS(S3_익일무배!$S$4:$S$63,S3_익일무배!$B$4:$B$63,2031)/SUMIFS(S3_익일무배!$O$4:$O$63,S3_익일무배!$B$4:$B$63,2031))/(SUMIFS(S3_익일무배!$Z$4:$Z$63,S3_익일무배!$B$4:$B$63,2031)/SUMIFS(S3_익일무배!$O$4:$O$63,S3_익일무배!$B$4:$B$63,2031))</f>
        <v>1.0860000000000001</v>
      </c>
    </row>
    <row r="67" spans="1:6" x14ac:dyDescent="0.3">
      <c r="A67" s="2" t="s">
        <v>184</v>
      </c>
      <c r="B67" s="39">
        <f>SUMIFS(S3_익일무배!$U$4:$U$63,S3_익일무배!$B$4:$B$63,2027)*10000/SUMIFS(S3_익일무배!$S$4:$S$63,S3_익일무배!$B$4:$B$63,2027)</f>
        <v>30707.273105823671</v>
      </c>
      <c r="C67" s="39">
        <f>SUMIFS(S3_익일무배!$U$4:$U$63,S3_익일무배!$B$4:$B$63,2028)*10000/SUMIFS(S3_익일무배!$S$4:$S$63,S3_익일무배!$B$4:$B$63,2028)</f>
        <v>29800.000000000007</v>
      </c>
      <c r="D67" s="39">
        <f>SUMIFS(S3_익일무배!$U$4:$U$63,S3_익일무배!$B$4:$B$63,2029)*10000/SUMIFS(S3_익일무배!$S$4:$S$63,S3_익일무배!$B$4:$B$63,2029)</f>
        <v>29799.999999999996</v>
      </c>
      <c r="E67" s="39">
        <f>SUMIFS(S3_익일무배!$U$4:$U$63,S3_익일무배!$B$4:$B$63,2030)*10000/SUMIFS(S3_익일무배!$S$4:$S$63,S3_익일무배!$B$4:$B$63,2030)</f>
        <v>29800.000000000011</v>
      </c>
      <c r="F67" s="39">
        <f>SUMIFS(S3_익일무배!$U$4:$U$63,S3_익일무배!$B$4:$B$63,2031)*10000/SUMIFS(S3_익일무배!$S$4:$S$63,S3_익일무배!$B$4:$B$63,2031)</f>
        <v>29800</v>
      </c>
    </row>
    <row r="68" spans="1:6" x14ac:dyDescent="0.3">
      <c r="A68" s="2" t="s">
        <v>185</v>
      </c>
      <c r="B68" s="39">
        <f>SUMIFS(S3_익일무배!$V$4:$V$63,S3_익일무배!$B$4:$B$63,2027)</f>
        <v>3256.8348821841155</v>
      </c>
      <c r="C68" s="39">
        <f>SUMIFS(S3_익일무배!$V$4:$V$63,S3_익일무배!$B$4:$B$63,2028)</f>
        <v>4406.5966357546622</v>
      </c>
      <c r="D68" s="39">
        <f>SUMIFS(S3_익일무배!$V$4:$V$63,S3_익일무배!$B$4:$B$63,2029)</f>
        <v>5751.840682875928</v>
      </c>
      <c r="E68" s="39">
        <f>SUMIFS(S3_익일무배!$V$4:$V$63,S3_익일무배!$B$4:$B$63,2030)</f>
        <v>7303.9690058696278</v>
      </c>
      <c r="F68" s="39">
        <f>SUMIFS(S3_익일무배!$V$4:$V$63,S3_익일무배!$B$4:$B$63,2031)</f>
        <v>8908.6182820096219</v>
      </c>
    </row>
    <row r="69" spans="1:6" x14ac:dyDescent="0.3">
      <c r="A69" s="2" t="s">
        <v>186</v>
      </c>
      <c r="B69" s="39">
        <f>SUMIFS(S4_익일무배회원!$O$4:$O$63,S4_익일무배회원!$B$4:$B$63,2027)</f>
        <v>749.72294553617712</v>
      </c>
      <c r="C69" s="39">
        <f>SUMIFS(S4_익일무배회원!$O$4:$O$63,S4_익일무배회원!$B$4:$B$63,2028)</f>
        <v>1010.2207102588251</v>
      </c>
      <c r="D69" s="39">
        <f>SUMIFS(S4_익일무배회원!$O$4:$O$63,S4_익일무배회원!$B$4:$B$63,2029)</f>
        <v>1294.4030194527681</v>
      </c>
      <c r="E69" s="39">
        <f>SUMIFS(S4_익일무배회원!$O$4:$O$63,S4_익일무배회원!$B$4:$B$63,2030)</f>
        <v>1603.7788070749771</v>
      </c>
      <c r="F69" s="39">
        <f>SUMIFS(S4_익일무배회원!$O$4:$O$63,S4_익일무배회원!$B$4:$B$63,2031)</f>
        <v>1920.0327436379898</v>
      </c>
    </row>
    <row r="70" spans="1:6" x14ac:dyDescent="0.3">
      <c r="A70" s="2" t="s">
        <v>187</v>
      </c>
      <c r="B70" s="40">
        <f>SUMIFS(S4_익일무배회원!$Z$4:$Z$63,S4_익일무배회원!$B$4:$B$63,2027)/SUMIFS(S4_익일무배회원!$O$4:$O$63,S4_익일무배회원!$B$4:$B$63,2027)</f>
        <v>1.3026424446388831</v>
      </c>
      <c r="C70" s="40">
        <f>SUMIFS(S4_익일무배회원!$Z$4:$Z$63,S4_익일무배회원!$B$4:$B$63,2028)/SUMIFS(S4_익일무배회원!$O$4:$O$63,S4_익일무배회원!$B$4:$B$63,2028)</f>
        <v>1.3629601844895491</v>
      </c>
      <c r="D70" s="40">
        <f>SUMIFS(S4_익일무배회원!$Z$4:$Z$63,S4_익일무배회원!$B$4:$B$63,2029)/SUMIFS(S4_익일무배회원!$O$4:$O$63,S4_익일무배회원!$B$4:$B$63,2029)</f>
        <v>1.4271761799280647</v>
      </c>
      <c r="E70" s="40">
        <f>SUMIFS(S4_익일무배회원!$Z$4:$Z$63,S4_익일무배회원!$B$4:$B$63,2030)/SUMIFS(S4_익일무배회원!$O$4:$O$63,S4_익일무배회원!$B$4:$B$63,2030)</f>
        <v>1.4914799546325044</v>
      </c>
      <c r="F70" s="40">
        <f>SUMIFS(S4_익일무배회원!$Z$4:$Z$63,S4_익일무배회원!$B$4:$B$63,2031)/SUMIFS(S4_익일무배회원!$O$4:$O$63,S4_익일무배회원!$B$4:$B$63,2031)</f>
        <v>1.5425809322213404</v>
      </c>
    </row>
    <row r="71" spans="1:6" x14ac:dyDescent="0.3">
      <c r="A71" s="2" t="s">
        <v>188</v>
      </c>
      <c r="B71" s="40">
        <f>(SUMIFS(S4_익일무배회원!$S$4:$S$63,S4_익일무배회원!$B$4:$B$63,2027)/SUMIFS(S4_익일무배회원!$O$4:$O$63,S4_익일무배회원!$B$4:$B$63,2027))/(SUMIFS(S4_익일무배회원!$Z$4:$Z$63,S4_익일무배회원!$B$4:$B$63,2027)/SUMIFS(S4_익일무배회원!$O$4:$O$63,S4_익일무배회원!$B$4:$B$63,2027))</f>
        <v>1.0465748602479787</v>
      </c>
      <c r="C71" s="40">
        <f>(SUMIFS(S4_익일무배회원!$S$4:$S$63,S4_익일무배회원!$B$4:$B$63,2028)/SUMIFS(S4_익일무배회원!$O$4:$O$63,S4_익일무배회원!$B$4:$B$63,2028))/(SUMIFS(S4_익일무배회원!$Z$4:$Z$63,S4_익일무배회원!$B$4:$B$63,2028)/SUMIFS(S4_익일무배회원!$O$4:$O$63,S4_익일무배회원!$B$4:$B$63,2028))</f>
        <v>1.0860000000000001</v>
      </c>
      <c r="D71" s="40">
        <f>(SUMIFS(S4_익일무배회원!$S$4:$S$63,S4_익일무배회원!$B$4:$B$63,2029)/SUMIFS(S4_익일무배회원!$O$4:$O$63,S4_익일무배회원!$B$4:$B$63,2029))/(SUMIFS(S4_익일무배회원!$Z$4:$Z$63,S4_익일무배회원!$B$4:$B$63,2029)/SUMIFS(S4_익일무배회원!$O$4:$O$63,S4_익일무배회원!$B$4:$B$63,2029))</f>
        <v>1.0859999999999999</v>
      </c>
      <c r="E71" s="40">
        <f>(SUMIFS(S4_익일무배회원!$S$4:$S$63,S4_익일무배회원!$B$4:$B$63,2030)/SUMIFS(S4_익일무배회원!$O$4:$O$63,S4_익일무배회원!$B$4:$B$63,2030))/(SUMIFS(S4_익일무배회원!$Z$4:$Z$63,S4_익일무배회원!$B$4:$B$63,2030)/SUMIFS(S4_익일무배회원!$O$4:$O$63,S4_익일무배회원!$B$4:$B$63,2030))</f>
        <v>1.0860000000000001</v>
      </c>
      <c r="F71" s="40">
        <f>(SUMIFS(S4_익일무배회원!$S$4:$S$63,S4_익일무배회원!$B$4:$B$63,2031)/SUMIFS(S4_익일무배회원!$O$4:$O$63,S4_익일무배회원!$B$4:$B$63,2031))/(SUMIFS(S4_익일무배회원!$Z$4:$Z$63,S4_익일무배회원!$B$4:$B$63,2031)/SUMIFS(S4_익일무배회원!$O$4:$O$63,S4_익일무배회원!$B$4:$B$63,2031))</f>
        <v>1.0860000000000001</v>
      </c>
    </row>
    <row r="72" spans="1:6" x14ac:dyDescent="0.3">
      <c r="A72" s="2" t="s">
        <v>189</v>
      </c>
      <c r="B72" s="39">
        <f>SUMIFS(S4_익일무배회원!$U$4:$U$63,S4_익일무배회원!$B$4:$B$63,2027)*10000/SUMIFS(S4_익일무배회원!$S$4:$S$63,S4_익일무배회원!$B$4:$B$63,2027)</f>
        <v>30696.210692840257</v>
      </c>
      <c r="C72" s="39">
        <f>SUMIFS(S4_익일무배회원!$U$4:$U$63,S4_익일무배회원!$B$4:$B$63,2028)*10000/SUMIFS(S4_익일무배회원!$S$4:$S$63,S4_익일무배회원!$B$4:$B$63,2028)</f>
        <v>29799.999999999996</v>
      </c>
      <c r="D72" s="39">
        <f>SUMIFS(S4_익일무배회원!$U$4:$U$63,S4_익일무배회원!$B$4:$B$63,2029)*10000/SUMIFS(S4_익일무배회원!$S$4:$S$63,S4_익일무배회원!$B$4:$B$63,2029)</f>
        <v>29800.000000000004</v>
      </c>
      <c r="E72" s="39">
        <f>SUMIFS(S4_익일무배회원!$U$4:$U$63,S4_익일무배회원!$B$4:$B$63,2030)*10000/SUMIFS(S4_익일무배회원!$S$4:$S$63,S4_익일무배회원!$B$4:$B$63,2030)</f>
        <v>29800</v>
      </c>
      <c r="F72" s="39">
        <f>SUMIFS(S4_익일무배회원!$U$4:$U$63,S4_익일무배회원!$B$4:$B$63,2031)*10000/SUMIFS(S4_익일무배회원!$S$4:$S$63,S4_익일무배회원!$B$4:$B$63,2031)</f>
        <v>29799.999999999996</v>
      </c>
    </row>
    <row r="73" spans="1:6" x14ac:dyDescent="0.3">
      <c r="A73" s="2" t="s">
        <v>190</v>
      </c>
      <c r="B73" s="39">
        <f>SUMIFS(S4_익일무배회원!$V$4:$V$63,S4_익일무배회원!$B$4:$B$63,2027)</f>
        <v>3302.6114927012886</v>
      </c>
      <c r="C73" s="39">
        <f>SUMIFS(S4_익일무배회원!$V$4:$V$63,S4_익일무배회원!$B$4:$B$63,2028)</f>
        <v>4690.5300307228845</v>
      </c>
      <c r="D73" s="39">
        <f>SUMIFS(S4_익일무배회원!$V$4:$V$63,S4_익일무배회원!$B$4:$B$63,2029)</f>
        <v>6293.171829735722</v>
      </c>
      <c r="E73" s="39">
        <f>SUMIFS(S4_익일무배회원!$V$4:$V$63,S4_익일무배회원!$B$4:$B$63,2030)</f>
        <v>8148.6258092257995</v>
      </c>
      <c r="F73" s="39">
        <f>SUMIFS(S4_익일무배회원!$V$4:$V$63,S4_익일무배회원!$B$4:$B$63,2031)</f>
        <v>10089.719154401811</v>
      </c>
    </row>
  </sheetData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가정</vt:lpstr>
      <vt:lpstr>S1_현재기준</vt:lpstr>
      <vt:lpstr>S2_익일</vt:lpstr>
      <vt:lpstr>S3_익일무배</vt:lpstr>
      <vt:lpstr>S4_익일무배회원</vt:lpstr>
      <vt:lpstr>요약</vt:lpstr>
      <vt:lpstr>브리지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AD2302001P01</cp:lastModifiedBy>
  <dcterms:created xsi:type="dcterms:W3CDTF">2026-09-28T08:33:37Z</dcterms:created>
  <dcterms:modified xsi:type="dcterms:W3CDTF">2026-10-09T06:04:36Z</dcterms:modified>
</cp:coreProperties>
</file>