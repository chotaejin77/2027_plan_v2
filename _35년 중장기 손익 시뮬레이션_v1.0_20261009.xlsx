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1606042P01\Desktop\업무\1. 온라인사업본부 (2023년~)\5. 다이소몰 실적 및 분석\2. 손익 실적\1. 온라인사업본부 손익실적\26년 손익실적\"/>
    </mc:Choice>
  </mc:AlternateContent>
  <xr:revisionPtr revIDLastSave="0" documentId="13_ncr:1_{A96C9F93-E0B3-4333-AA4D-BFB04107CBF2}" xr6:coauthVersionLast="36" xr6:coauthVersionMax="36" xr10:uidLastSave="{00000000-0000-0000-0000-000000000000}"/>
  <bookViews>
    <workbookView xWindow="0" yWindow="0" windowWidth="28740" windowHeight="13140" xr2:uid="{00000000-000D-0000-FFFF-FFFF00000000}"/>
  </bookViews>
  <sheets>
    <sheet name="다이소몰 손익 중장기 시뮬레이션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H10" i="1"/>
  <c r="G10" i="1"/>
  <c r="H28" i="1"/>
  <c r="R107" i="1"/>
  <c r="Q107" i="1"/>
  <c r="P107" i="1"/>
  <c r="O107" i="1"/>
  <c r="N107" i="1"/>
  <c r="R102" i="1"/>
  <c r="Q102" i="1"/>
  <c r="P102" i="1"/>
  <c r="O102" i="1"/>
  <c r="N102" i="1"/>
  <c r="R127" i="1"/>
  <c r="R126" i="1" s="1"/>
  <c r="Q127" i="1"/>
  <c r="Q126" i="1" s="1"/>
  <c r="P127" i="1"/>
  <c r="P126" i="1" s="1"/>
  <c r="O127" i="1"/>
  <c r="O126" i="1" s="1"/>
  <c r="N127" i="1"/>
  <c r="N126" i="1" s="1"/>
  <c r="H27" i="1"/>
  <c r="K7" i="1"/>
  <c r="J14" i="1"/>
  <c r="K14" i="1" s="1"/>
  <c r="L14" i="1" s="1"/>
  <c r="M14" i="1" s="1"/>
  <c r="N14" i="1" s="1"/>
  <c r="O14" i="1" s="1"/>
  <c r="P14" i="1" s="1"/>
  <c r="Q14" i="1" s="1"/>
  <c r="R14" i="1" s="1"/>
  <c r="G19" i="1"/>
  <c r="H19" i="1"/>
  <c r="J13" i="1"/>
  <c r="K13" i="1" s="1"/>
  <c r="L13" i="1" s="1"/>
  <c r="M13" i="1" s="1"/>
  <c r="N13" i="1" s="1"/>
  <c r="O13" i="1" s="1"/>
  <c r="P13" i="1" s="1"/>
  <c r="Q13" i="1" s="1"/>
  <c r="R13" i="1" s="1"/>
  <c r="J9" i="1"/>
  <c r="K9" i="1" s="1"/>
  <c r="L9" i="1" s="1"/>
  <c r="M9" i="1" s="1"/>
  <c r="O113" i="1" l="1"/>
  <c r="N113" i="1"/>
  <c r="P113" i="1" l="1"/>
  <c r="Q113" i="1" l="1"/>
  <c r="R113" i="1"/>
  <c r="H17" i="1" l="1"/>
  <c r="G17" i="1"/>
  <c r="H12" i="1"/>
  <c r="G12" i="1"/>
  <c r="I8" i="1"/>
  <c r="H14" i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G14" i="1"/>
  <c r="J6" i="1"/>
  <c r="I7" i="1"/>
  <c r="H7" i="1"/>
  <c r="H9" i="1"/>
  <c r="G9" i="1"/>
  <c r="H13" i="1"/>
  <c r="G13" i="1"/>
  <c r="I11" i="1" l="1"/>
  <c r="I31" i="1" s="1"/>
  <c r="I27" i="1" s="1"/>
  <c r="I10" i="1"/>
  <c r="J8" i="1"/>
  <c r="K6" i="1"/>
  <c r="I12" i="1" l="1"/>
  <c r="I36" i="1"/>
  <c r="I33" i="1"/>
  <c r="I28" i="1"/>
  <c r="J11" i="1"/>
  <c r="J31" i="1" s="1"/>
  <c r="J27" i="1" s="1"/>
  <c r="J10" i="1"/>
  <c r="J33" i="1"/>
  <c r="J12" i="1"/>
  <c r="L6" i="1"/>
  <c r="K8" i="1"/>
  <c r="J36" i="1" l="1"/>
  <c r="J43" i="1" s="1"/>
  <c r="J28" i="1"/>
  <c r="K11" i="1"/>
  <c r="K31" i="1" s="1"/>
  <c r="K28" i="1" s="1"/>
  <c r="K10" i="1"/>
  <c r="J40" i="1"/>
  <c r="M6" i="1"/>
  <c r="L8" i="1"/>
  <c r="L11" i="1" l="1"/>
  <c r="L31" i="1" s="1"/>
  <c r="L27" i="1" s="1"/>
  <c r="L10" i="1"/>
  <c r="K33" i="1"/>
  <c r="K40" i="1" s="1"/>
  <c r="K27" i="1"/>
  <c r="K12" i="1"/>
  <c r="K36" i="1"/>
  <c r="K43" i="1" s="1"/>
  <c r="N6" i="1"/>
  <c r="M8" i="1"/>
  <c r="L12" i="1" l="1"/>
  <c r="L36" i="1"/>
  <c r="L43" i="1" s="1"/>
  <c r="L28" i="1"/>
  <c r="L33" i="1"/>
  <c r="M11" i="1"/>
  <c r="M31" i="1" s="1"/>
  <c r="M28" i="1" s="1"/>
  <c r="M10" i="1"/>
  <c r="L40" i="1"/>
  <c r="O6" i="1"/>
  <c r="N8" i="1"/>
  <c r="M33" i="1" l="1"/>
  <c r="M36" i="1"/>
  <c r="M27" i="1"/>
  <c r="M12" i="1"/>
  <c r="N11" i="1"/>
  <c r="N31" i="1" s="1"/>
  <c r="N27" i="1" s="1"/>
  <c r="N10" i="1"/>
  <c r="N28" i="1"/>
  <c r="M43" i="1"/>
  <c r="N36" i="1"/>
  <c r="M40" i="1"/>
  <c r="N33" i="1"/>
  <c r="N12" i="1"/>
  <c r="P6" i="1"/>
  <c r="O8" i="1"/>
  <c r="O11" i="1" l="1"/>
  <c r="O31" i="1" s="1"/>
  <c r="O27" i="1" s="1"/>
  <c r="O10" i="1"/>
  <c r="N43" i="1"/>
  <c r="N40" i="1"/>
  <c r="Q6" i="1"/>
  <c r="P8" i="1"/>
  <c r="O12" i="1" l="1"/>
  <c r="O33" i="1"/>
  <c r="O40" i="1" s="1"/>
  <c r="O36" i="1"/>
  <c r="O43" i="1" s="1"/>
  <c r="O28" i="1"/>
  <c r="P11" i="1"/>
  <c r="P31" i="1" s="1"/>
  <c r="P27" i="1" s="1"/>
  <c r="P10" i="1"/>
  <c r="R6" i="1"/>
  <c r="R8" i="1" s="1"/>
  <c r="Q8" i="1"/>
  <c r="P12" i="1" l="1"/>
  <c r="P33" i="1"/>
  <c r="P40" i="1" s="1"/>
  <c r="P36" i="1"/>
  <c r="P43" i="1" s="1"/>
  <c r="P28" i="1"/>
  <c r="Q11" i="1"/>
  <c r="Q31" i="1" s="1"/>
  <c r="Q10" i="1"/>
  <c r="R11" i="1"/>
  <c r="R31" i="1" s="1"/>
  <c r="R10" i="1"/>
  <c r="Q36" i="1" l="1"/>
  <c r="Q43" i="1" s="1"/>
  <c r="R27" i="1"/>
  <c r="Q27" i="1"/>
  <c r="Q28" i="1"/>
  <c r="R28" i="1"/>
  <c r="Q33" i="1"/>
  <c r="Q40" i="1" s="1"/>
  <c r="Q12" i="1"/>
  <c r="R12" i="1"/>
  <c r="R36" i="1" l="1"/>
  <c r="R43" i="1" s="1"/>
  <c r="R33" i="1"/>
  <c r="R40" i="1" s="1"/>
  <c r="U91" i="1" l="1"/>
  <c r="T91" i="1"/>
  <c r="U88" i="1"/>
  <c r="T88" i="1"/>
  <c r="U87" i="1"/>
  <c r="T87" i="1"/>
  <c r="U86" i="1"/>
  <c r="T86" i="1"/>
  <c r="U85" i="1"/>
  <c r="T85" i="1"/>
  <c r="U84" i="1"/>
  <c r="T84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6" i="1"/>
  <c r="T56" i="1"/>
  <c r="U53" i="1"/>
  <c r="T53" i="1"/>
  <c r="U52" i="1"/>
  <c r="T52" i="1"/>
  <c r="U51" i="1"/>
  <c r="T51" i="1"/>
  <c r="U50" i="1"/>
  <c r="T50" i="1"/>
  <c r="U46" i="1"/>
  <c r="T46" i="1"/>
  <c r="U45" i="1"/>
  <c r="T45" i="1"/>
  <c r="R86" i="1"/>
  <c r="Q86" i="1"/>
  <c r="P86" i="1"/>
  <c r="O86" i="1"/>
  <c r="N86" i="1"/>
  <c r="R85" i="1"/>
  <c r="Q85" i="1"/>
  <c r="P85" i="1"/>
  <c r="O85" i="1"/>
  <c r="N85" i="1"/>
  <c r="R82" i="1"/>
  <c r="Q82" i="1"/>
  <c r="P82" i="1"/>
  <c r="O82" i="1"/>
  <c r="N82" i="1"/>
  <c r="H26" i="1" l="1"/>
  <c r="G26" i="1"/>
  <c r="J56" i="1"/>
  <c r="M82" i="1"/>
  <c r="L82" i="1"/>
  <c r="K82" i="1"/>
  <c r="H74" i="1"/>
  <c r="U74" i="1" s="1"/>
  <c r="G74" i="1"/>
  <c r="T74" i="1" s="1"/>
  <c r="J82" i="1"/>
  <c r="U30" i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H30" i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L123" i="1"/>
  <c r="L122" i="1"/>
  <c r="M122" i="1" s="1"/>
  <c r="N122" i="1" s="1"/>
  <c r="M107" i="1"/>
  <c r="L107" i="1"/>
  <c r="K107" i="1"/>
  <c r="J107" i="1"/>
  <c r="I107" i="1"/>
  <c r="H107" i="1"/>
  <c r="G107" i="1"/>
  <c r="D122" i="1"/>
  <c r="I122" i="1" s="1"/>
  <c r="I120" i="1" s="1"/>
  <c r="H94" i="1"/>
  <c r="G94" i="1"/>
  <c r="H24" i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G24" i="1"/>
  <c r="H23" i="1"/>
  <c r="G23" i="1"/>
  <c r="H20" i="1"/>
  <c r="G20" i="1"/>
  <c r="O122" i="1" l="1"/>
  <c r="M123" i="1"/>
  <c r="J122" i="1"/>
  <c r="J120" i="1" s="1"/>
  <c r="K122" i="1"/>
  <c r="K120" i="1" s="1"/>
  <c r="K56" i="1"/>
  <c r="G122" i="1"/>
  <c r="G120" i="1" s="1"/>
  <c r="H122" i="1"/>
  <c r="H120" i="1" s="1"/>
  <c r="N123" i="1" l="1"/>
  <c r="N120" i="1" s="1"/>
  <c r="P122" i="1"/>
  <c r="L56" i="1"/>
  <c r="Q122" i="1" l="1"/>
  <c r="O123" i="1"/>
  <c r="O120" i="1" s="1"/>
  <c r="P123" i="1"/>
  <c r="P120" i="1" s="1"/>
  <c r="M56" i="1"/>
  <c r="N56" i="1" s="1"/>
  <c r="O56" i="1" s="1"/>
  <c r="P56" i="1" s="1"/>
  <c r="Q56" i="1" s="1"/>
  <c r="R56" i="1" s="1"/>
  <c r="Q123" i="1" l="1"/>
  <c r="R123" i="1" s="1"/>
  <c r="R122" i="1"/>
  <c r="M86" i="1"/>
  <c r="L86" i="1"/>
  <c r="K86" i="1"/>
  <c r="J86" i="1"/>
  <c r="I87" i="1"/>
  <c r="J87" i="1" s="1"/>
  <c r="I86" i="1"/>
  <c r="J115" i="1"/>
  <c r="K115" i="1" s="1"/>
  <c r="J114" i="1"/>
  <c r="K127" i="1"/>
  <c r="K126" i="1" s="1"/>
  <c r="K85" i="1" s="1"/>
  <c r="M127" i="1"/>
  <c r="M126" i="1" s="1"/>
  <c r="M85" i="1" s="1"/>
  <c r="L127" i="1"/>
  <c r="L126" i="1" s="1"/>
  <c r="L85" i="1" s="1"/>
  <c r="J127" i="1"/>
  <c r="J126" i="1" s="1"/>
  <c r="J85" i="1" s="1"/>
  <c r="I127" i="1"/>
  <c r="I126" i="1" s="1"/>
  <c r="I85" i="1" s="1"/>
  <c r="H127" i="1"/>
  <c r="H126" i="1" s="1"/>
  <c r="G127" i="1"/>
  <c r="G126" i="1" s="1"/>
  <c r="I113" i="1"/>
  <c r="H113" i="1"/>
  <c r="G113" i="1"/>
  <c r="J119" i="1"/>
  <c r="J118" i="1"/>
  <c r="M102" i="1"/>
  <c r="L102" i="1"/>
  <c r="K102" i="1"/>
  <c r="I102" i="1"/>
  <c r="H102" i="1"/>
  <c r="G102" i="1"/>
  <c r="J102" i="1"/>
  <c r="J80" i="1"/>
  <c r="J73" i="1"/>
  <c r="J65" i="1"/>
  <c r="I35" i="1"/>
  <c r="I32" i="1"/>
  <c r="G66" i="1"/>
  <c r="T66" i="1" s="1"/>
  <c r="G57" i="1"/>
  <c r="T57" i="1" s="1"/>
  <c r="G49" i="1"/>
  <c r="T49" i="1" s="1"/>
  <c r="R120" i="1" l="1"/>
  <c r="Q120" i="1"/>
  <c r="K119" i="1"/>
  <c r="J32" i="1"/>
  <c r="K32" i="1" s="1"/>
  <c r="I34" i="1"/>
  <c r="I37" i="1"/>
  <c r="J35" i="1"/>
  <c r="K35" i="1" s="1"/>
  <c r="K87" i="1"/>
  <c r="K73" i="1"/>
  <c r="K80" i="1"/>
  <c r="K65" i="1"/>
  <c r="I79" i="1"/>
  <c r="K114" i="1"/>
  <c r="L114" i="1" s="1"/>
  <c r="I77" i="1"/>
  <c r="I76" i="1"/>
  <c r="I81" i="1"/>
  <c r="J116" i="1"/>
  <c r="L119" i="1"/>
  <c r="M119" i="1" s="1"/>
  <c r="G55" i="1"/>
  <c r="T55" i="1" s="1"/>
  <c r="J113" i="1"/>
  <c r="G83" i="1"/>
  <c r="T83" i="1" s="1"/>
  <c r="H83" i="1"/>
  <c r="U83" i="1" s="1"/>
  <c r="D150" i="1"/>
  <c r="D142" i="1"/>
  <c r="H146" i="1" s="1"/>
  <c r="M136" i="1"/>
  <c r="L136" i="1"/>
  <c r="K136" i="1"/>
  <c r="J136" i="1"/>
  <c r="I136" i="1"/>
  <c r="H136" i="1"/>
  <c r="G136" i="1"/>
  <c r="D118" i="1"/>
  <c r="I118" i="1" s="1"/>
  <c r="I116" i="1" s="1"/>
  <c r="N119" i="1" l="1"/>
  <c r="O119" i="1" s="1"/>
  <c r="J72" i="1"/>
  <c r="K72" i="1" s="1"/>
  <c r="K37" i="1"/>
  <c r="K44" i="1" s="1"/>
  <c r="K42" i="1" s="1"/>
  <c r="L35" i="1"/>
  <c r="K34" i="1"/>
  <c r="K41" i="1" s="1"/>
  <c r="K39" i="1" s="1"/>
  <c r="L32" i="1"/>
  <c r="J37" i="1"/>
  <c r="J44" i="1" s="1"/>
  <c r="J42" i="1" s="1"/>
  <c r="J34" i="1"/>
  <c r="J41" i="1" s="1"/>
  <c r="J39" i="1" s="1"/>
  <c r="K113" i="1"/>
  <c r="L65" i="1"/>
  <c r="L87" i="1"/>
  <c r="J112" i="1"/>
  <c r="J84" i="1" s="1"/>
  <c r="I112" i="1"/>
  <c r="I84" i="1" s="1"/>
  <c r="L73" i="1"/>
  <c r="L80" i="1"/>
  <c r="J81" i="1"/>
  <c r="J76" i="1"/>
  <c r="J77" i="1"/>
  <c r="J79" i="1"/>
  <c r="G54" i="1"/>
  <c r="M114" i="1"/>
  <c r="M113" i="1" s="1"/>
  <c r="L113" i="1"/>
  <c r="K118" i="1"/>
  <c r="K116" i="1" s="1"/>
  <c r="K144" i="1"/>
  <c r="I146" i="1"/>
  <c r="G143" i="1"/>
  <c r="M144" i="1"/>
  <c r="K146" i="1"/>
  <c r="I143" i="1"/>
  <c r="H143" i="1"/>
  <c r="G145" i="1"/>
  <c r="M146" i="1"/>
  <c r="K143" i="1"/>
  <c r="I145" i="1"/>
  <c r="L143" i="1"/>
  <c r="J145" i="1"/>
  <c r="M143" i="1"/>
  <c r="K145" i="1"/>
  <c r="G144" i="1"/>
  <c r="L145" i="1"/>
  <c r="H144" i="1"/>
  <c r="M145" i="1"/>
  <c r="J143" i="1"/>
  <c r="I144" i="1"/>
  <c r="G146" i="1"/>
  <c r="L144" i="1"/>
  <c r="J146" i="1"/>
  <c r="L146" i="1"/>
  <c r="H145" i="1"/>
  <c r="J144" i="1"/>
  <c r="G151" i="1"/>
  <c r="G148" i="1" s="1"/>
  <c r="H118" i="1"/>
  <c r="H116" i="1" s="1"/>
  <c r="H112" i="1" s="1"/>
  <c r="G118" i="1"/>
  <c r="G116" i="1" s="1"/>
  <c r="G112" i="1" s="1"/>
  <c r="P119" i="1" l="1"/>
  <c r="Q119" i="1"/>
  <c r="R119" i="1" s="1"/>
  <c r="K38" i="1"/>
  <c r="J38" i="1"/>
  <c r="L34" i="1"/>
  <c r="L41" i="1" s="1"/>
  <c r="L39" i="1" s="1"/>
  <c r="M32" i="1"/>
  <c r="M35" i="1"/>
  <c r="L37" i="1"/>
  <c r="L44" i="1" s="1"/>
  <c r="L42" i="1" s="1"/>
  <c r="L38" i="1" s="1"/>
  <c r="K81" i="1"/>
  <c r="J94" i="1"/>
  <c r="J83" i="1"/>
  <c r="M87" i="1"/>
  <c r="M80" i="1"/>
  <c r="M65" i="1"/>
  <c r="G48" i="1"/>
  <c r="T48" i="1" s="1"/>
  <c r="T54" i="1"/>
  <c r="M73" i="1"/>
  <c r="I94" i="1"/>
  <c r="I83" i="1"/>
  <c r="K112" i="1"/>
  <c r="K84" i="1" s="1"/>
  <c r="K94" i="1" s="1"/>
  <c r="K77" i="1"/>
  <c r="K79" i="1"/>
  <c r="K76" i="1"/>
  <c r="L118" i="1"/>
  <c r="L116" i="1" s="1"/>
  <c r="J142" i="1"/>
  <c r="M150" i="1"/>
  <c r="L150" i="1"/>
  <c r="K150" i="1"/>
  <c r="J150" i="1"/>
  <c r="I150" i="1"/>
  <c r="H150" i="1"/>
  <c r="K156" i="1"/>
  <c r="H142" i="1"/>
  <c r="H152" i="1"/>
  <c r="H151" i="1" s="1"/>
  <c r="K155" i="1"/>
  <c r="G142" i="1"/>
  <c r="M142" i="1"/>
  <c r="J154" i="1"/>
  <c r="L142" i="1"/>
  <c r="I142" i="1"/>
  <c r="I153" i="1"/>
  <c r="K142" i="1"/>
  <c r="M37" i="1" l="1"/>
  <c r="M44" i="1" s="1"/>
  <c r="M42" i="1" s="1"/>
  <c r="N35" i="1"/>
  <c r="M34" i="1"/>
  <c r="M41" i="1" s="1"/>
  <c r="M39" i="1" s="1"/>
  <c r="N32" i="1"/>
  <c r="N80" i="1"/>
  <c r="N87" i="1"/>
  <c r="N73" i="1"/>
  <c r="N65" i="1"/>
  <c r="K83" i="1"/>
  <c r="L120" i="1"/>
  <c r="L112" i="1" s="1"/>
  <c r="L84" i="1" s="1"/>
  <c r="M120" i="1"/>
  <c r="M118" i="1"/>
  <c r="H148" i="1"/>
  <c r="J153" i="1"/>
  <c r="K153" i="1" s="1"/>
  <c r="L156" i="1"/>
  <c r="M156" i="1" s="1"/>
  <c r="I152" i="1"/>
  <c r="J152" i="1" s="1"/>
  <c r="K152" i="1" s="1"/>
  <c r="L155" i="1"/>
  <c r="M155" i="1" s="1"/>
  <c r="K154" i="1"/>
  <c r="M116" i="1" l="1"/>
  <c r="M112" i="1" s="1"/>
  <c r="M84" i="1" s="1"/>
  <c r="N118" i="1"/>
  <c r="M38" i="1"/>
  <c r="O32" i="1"/>
  <c r="N34" i="1"/>
  <c r="N41" i="1" s="1"/>
  <c r="N39" i="1" s="1"/>
  <c r="O35" i="1"/>
  <c r="N37" i="1"/>
  <c r="N44" i="1" s="1"/>
  <c r="N42" i="1" s="1"/>
  <c r="L94" i="1"/>
  <c r="L83" i="1"/>
  <c r="O87" i="1"/>
  <c r="O65" i="1"/>
  <c r="O73" i="1"/>
  <c r="O80" i="1"/>
  <c r="I151" i="1"/>
  <c r="I148" i="1" s="1"/>
  <c r="L153" i="1"/>
  <c r="M153" i="1" s="1"/>
  <c r="L152" i="1"/>
  <c r="M152" i="1" s="1"/>
  <c r="L154" i="1"/>
  <c r="M154" i="1" s="1"/>
  <c r="J151" i="1"/>
  <c r="J148" i="1" s="1"/>
  <c r="K151" i="1"/>
  <c r="K148" i="1" s="1"/>
  <c r="O118" i="1" l="1"/>
  <c r="N116" i="1"/>
  <c r="N112" i="1" s="1"/>
  <c r="N84" i="1" s="1"/>
  <c r="N38" i="1"/>
  <c r="P35" i="1"/>
  <c r="O37" i="1"/>
  <c r="O44" i="1" s="1"/>
  <c r="O42" i="1" s="1"/>
  <c r="P32" i="1"/>
  <c r="O34" i="1"/>
  <c r="O41" i="1" s="1"/>
  <c r="O39" i="1" s="1"/>
  <c r="M83" i="1"/>
  <c r="M94" i="1"/>
  <c r="P65" i="1"/>
  <c r="P73" i="1"/>
  <c r="P87" i="1"/>
  <c r="P80" i="1"/>
  <c r="L151" i="1"/>
  <c r="L148" i="1" s="1"/>
  <c r="N94" i="1" l="1"/>
  <c r="N83" i="1"/>
  <c r="P118" i="1"/>
  <c r="O116" i="1"/>
  <c r="O112" i="1" s="1"/>
  <c r="O84" i="1" s="1"/>
  <c r="O38" i="1"/>
  <c r="Q32" i="1"/>
  <c r="P34" i="1"/>
  <c r="P41" i="1" s="1"/>
  <c r="P39" i="1" s="1"/>
  <c r="Q35" i="1"/>
  <c r="P37" i="1"/>
  <c r="P44" i="1" s="1"/>
  <c r="P42" i="1" s="1"/>
  <c r="Q80" i="1"/>
  <c r="Q87" i="1"/>
  <c r="Q73" i="1"/>
  <c r="Q65" i="1"/>
  <c r="N46" i="1"/>
  <c r="N45" i="1"/>
  <c r="N53" i="1" s="1"/>
  <c r="M151" i="1"/>
  <c r="M148" i="1" s="1"/>
  <c r="Q118" i="1" l="1"/>
  <c r="P116" i="1"/>
  <c r="P112" i="1" s="1"/>
  <c r="P84" i="1" s="1"/>
  <c r="O94" i="1"/>
  <c r="O83" i="1"/>
  <c r="P38" i="1"/>
  <c r="Q37" i="1"/>
  <c r="Q44" i="1" s="1"/>
  <c r="Q42" i="1" s="1"/>
  <c r="R35" i="1"/>
  <c r="R37" i="1" s="1"/>
  <c r="R44" i="1" s="1"/>
  <c r="R42" i="1" s="1"/>
  <c r="R32" i="1"/>
  <c r="R34" i="1" s="1"/>
  <c r="R41" i="1" s="1"/>
  <c r="R39" i="1" s="1"/>
  <c r="Q34" i="1"/>
  <c r="Q41" i="1" s="1"/>
  <c r="Q39" i="1" s="1"/>
  <c r="AA46" i="1"/>
  <c r="R73" i="1"/>
  <c r="R87" i="1"/>
  <c r="AA78" i="1"/>
  <c r="AA45" i="1"/>
  <c r="AA86" i="1"/>
  <c r="AA88" i="1"/>
  <c r="AA82" i="1"/>
  <c r="AA84" i="1"/>
  <c r="AA85" i="1"/>
  <c r="AA83" i="1"/>
  <c r="AA56" i="1"/>
  <c r="AA73" i="1"/>
  <c r="AA80" i="1"/>
  <c r="AA65" i="1"/>
  <c r="AA87" i="1"/>
  <c r="R65" i="1"/>
  <c r="R80" i="1"/>
  <c r="O46" i="1"/>
  <c r="AA53" i="1"/>
  <c r="N47" i="1"/>
  <c r="AA47" i="1" s="1"/>
  <c r="N50" i="1"/>
  <c r="AA50" i="1" s="1"/>
  <c r="N52" i="1"/>
  <c r="AA52" i="1" s="1"/>
  <c r="N51" i="1"/>
  <c r="AA51" i="1" s="1"/>
  <c r="N91" i="1"/>
  <c r="AA91" i="1" s="1"/>
  <c r="O45" i="1"/>
  <c r="O53" i="1" s="1"/>
  <c r="U5" i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I41" i="1"/>
  <c r="P94" i="1" l="1"/>
  <c r="P83" i="1"/>
  <c r="Q116" i="1"/>
  <c r="Q112" i="1" s="1"/>
  <c r="Q84" i="1" s="1"/>
  <c r="R118" i="1"/>
  <c r="R116" i="1" s="1"/>
  <c r="R112" i="1" s="1"/>
  <c r="R84" i="1" s="1"/>
  <c r="Q38" i="1"/>
  <c r="R38" i="1"/>
  <c r="AB46" i="1"/>
  <c r="AB78" i="1"/>
  <c r="AB85" i="1"/>
  <c r="AB45" i="1"/>
  <c r="AB88" i="1"/>
  <c r="AB86" i="1"/>
  <c r="AB84" i="1"/>
  <c r="AB82" i="1"/>
  <c r="AB83" i="1"/>
  <c r="AB56" i="1"/>
  <c r="AB80" i="1"/>
  <c r="AB65" i="1"/>
  <c r="AB73" i="1"/>
  <c r="AB87" i="1"/>
  <c r="P46" i="1"/>
  <c r="O51" i="1"/>
  <c r="AB51" i="1" s="1"/>
  <c r="O52" i="1"/>
  <c r="AB52" i="1" s="1"/>
  <c r="O47" i="1"/>
  <c r="AB47" i="1" s="1"/>
  <c r="O91" i="1"/>
  <c r="AB91" i="1" s="1"/>
  <c r="AB53" i="1"/>
  <c r="O50" i="1"/>
  <c r="N49" i="1"/>
  <c r="AA49" i="1" s="1"/>
  <c r="I43" i="1"/>
  <c r="I44" i="1"/>
  <c r="R94" i="1" l="1"/>
  <c r="R83" i="1"/>
  <c r="Q94" i="1"/>
  <c r="Q83" i="1"/>
  <c r="P45" i="1"/>
  <c r="O49" i="1"/>
  <c r="AB49" i="1" s="1"/>
  <c r="AB50" i="1"/>
  <c r="K46" i="1"/>
  <c r="J46" i="1"/>
  <c r="I42" i="1"/>
  <c r="I40" i="1"/>
  <c r="AC85" i="1" l="1"/>
  <c r="P53" i="1"/>
  <c r="AC53" i="1" s="1"/>
  <c r="P52" i="1"/>
  <c r="AC52" i="1" s="1"/>
  <c r="AC84" i="1"/>
  <c r="AC86" i="1"/>
  <c r="AC78" i="1"/>
  <c r="AC45" i="1"/>
  <c r="AC88" i="1"/>
  <c r="AC46" i="1"/>
  <c r="P51" i="1"/>
  <c r="AC51" i="1" s="1"/>
  <c r="P50" i="1"/>
  <c r="AC50" i="1" s="1"/>
  <c r="P91" i="1"/>
  <c r="AC91" i="1" s="1"/>
  <c r="AC65" i="1"/>
  <c r="AC73" i="1"/>
  <c r="AC87" i="1"/>
  <c r="AC80" i="1"/>
  <c r="AC56" i="1"/>
  <c r="AC82" i="1"/>
  <c r="AC83" i="1"/>
  <c r="P47" i="1"/>
  <c r="AC47" i="1" s="1"/>
  <c r="Q46" i="1"/>
  <c r="Q45" i="1"/>
  <c r="Q53" i="1" s="1"/>
  <c r="J45" i="1"/>
  <c r="I39" i="1"/>
  <c r="I46" i="1" s="1"/>
  <c r="P49" i="1" l="1"/>
  <c r="AC49" i="1" s="1"/>
  <c r="AD88" i="1"/>
  <c r="AD86" i="1"/>
  <c r="AD45" i="1"/>
  <c r="AD78" i="1"/>
  <c r="AD85" i="1"/>
  <c r="AD84" i="1"/>
  <c r="AD82" i="1"/>
  <c r="AD83" i="1"/>
  <c r="AD56" i="1"/>
  <c r="AD73" i="1"/>
  <c r="AD87" i="1"/>
  <c r="AD80" i="1"/>
  <c r="AD65" i="1"/>
  <c r="J53" i="1"/>
  <c r="W53" i="1" s="1"/>
  <c r="W88" i="1"/>
  <c r="W78" i="1"/>
  <c r="W45" i="1"/>
  <c r="W82" i="1"/>
  <c r="W56" i="1"/>
  <c r="W80" i="1"/>
  <c r="W87" i="1"/>
  <c r="W65" i="1"/>
  <c r="W85" i="1"/>
  <c r="W73" i="1"/>
  <c r="W86" i="1"/>
  <c r="W72" i="1"/>
  <c r="W84" i="1"/>
  <c r="W77" i="1"/>
  <c r="W76" i="1"/>
  <c r="W81" i="1"/>
  <c r="W79" i="1"/>
  <c r="W83" i="1"/>
  <c r="AD46" i="1"/>
  <c r="W46" i="1"/>
  <c r="R45" i="1"/>
  <c r="R53" i="1" s="1"/>
  <c r="R46" i="1"/>
  <c r="Q51" i="1"/>
  <c r="AD51" i="1" s="1"/>
  <c r="Q52" i="1"/>
  <c r="AD52" i="1" s="1"/>
  <c r="Q50" i="1"/>
  <c r="AD50" i="1" s="1"/>
  <c r="AD53" i="1"/>
  <c r="Q47" i="1"/>
  <c r="AD47" i="1" s="1"/>
  <c r="Q91" i="1"/>
  <c r="AD91" i="1" s="1"/>
  <c r="J91" i="1"/>
  <c r="W91" i="1" s="1"/>
  <c r="I38" i="1"/>
  <c r="I45" i="1" s="1"/>
  <c r="K45" i="1"/>
  <c r="AE46" i="1" l="1"/>
  <c r="J69" i="1"/>
  <c r="W69" i="1" s="1"/>
  <c r="V80" i="1"/>
  <c r="V62" i="1"/>
  <c r="V73" i="1"/>
  <c r="V67" i="1"/>
  <c r="V71" i="1"/>
  <c r="V68" i="1"/>
  <c r="V56" i="1"/>
  <c r="V65" i="1"/>
  <c r="V45" i="1"/>
  <c r="V88" i="1"/>
  <c r="V72" i="1"/>
  <c r="V69" i="1"/>
  <c r="V78" i="1"/>
  <c r="V82" i="1"/>
  <c r="V85" i="1"/>
  <c r="V86" i="1"/>
  <c r="V87" i="1"/>
  <c r="V81" i="1"/>
  <c r="V79" i="1"/>
  <c r="V77" i="1"/>
  <c r="V76" i="1"/>
  <c r="V84" i="1"/>
  <c r="V83" i="1"/>
  <c r="AE88" i="1"/>
  <c r="AE78" i="1"/>
  <c r="AE45" i="1"/>
  <c r="AE85" i="1"/>
  <c r="AE86" i="1"/>
  <c r="AE84" i="1"/>
  <c r="AE82" i="1"/>
  <c r="AE83" i="1"/>
  <c r="AE56" i="1"/>
  <c r="AE80" i="1"/>
  <c r="AE65" i="1"/>
  <c r="AE87" i="1"/>
  <c r="AE73" i="1"/>
  <c r="K53" i="1"/>
  <c r="X53" i="1" s="1"/>
  <c r="X88" i="1"/>
  <c r="X78" i="1"/>
  <c r="X45" i="1"/>
  <c r="X82" i="1"/>
  <c r="X56" i="1"/>
  <c r="X86" i="1"/>
  <c r="X85" i="1"/>
  <c r="X73" i="1"/>
  <c r="X65" i="1"/>
  <c r="X87" i="1"/>
  <c r="X80" i="1"/>
  <c r="X72" i="1"/>
  <c r="X81" i="1"/>
  <c r="X79" i="1"/>
  <c r="X77" i="1"/>
  <c r="X76" i="1"/>
  <c r="X84" i="1"/>
  <c r="X83" i="1"/>
  <c r="X46" i="1"/>
  <c r="V46" i="1"/>
  <c r="Q49" i="1"/>
  <c r="AD49" i="1" s="1"/>
  <c r="R47" i="1"/>
  <c r="AE47" i="1" s="1"/>
  <c r="AE53" i="1"/>
  <c r="R50" i="1"/>
  <c r="AE50" i="1" s="1"/>
  <c r="R91" i="1"/>
  <c r="AE91" i="1" s="1"/>
  <c r="R52" i="1"/>
  <c r="AE52" i="1" s="1"/>
  <c r="R51" i="1"/>
  <c r="AE51" i="1" s="1"/>
  <c r="I91" i="1"/>
  <c r="V91" i="1" s="1"/>
  <c r="K91" i="1"/>
  <c r="X91" i="1" s="1"/>
  <c r="J71" i="1"/>
  <c r="W71" i="1" s="1"/>
  <c r="J52" i="1"/>
  <c r="W52" i="1" s="1"/>
  <c r="J51" i="1"/>
  <c r="W51" i="1" s="1"/>
  <c r="W37" i="1"/>
  <c r="W33" i="1"/>
  <c r="W36" i="1"/>
  <c r="W34" i="1"/>
  <c r="J50" i="1"/>
  <c r="W50" i="1" s="1"/>
  <c r="W41" i="1"/>
  <c r="W44" i="1"/>
  <c r="W32" i="1"/>
  <c r="W40" i="1"/>
  <c r="W42" i="1"/>
  <c r="W35" i="1"/>
  <c r="W43" i="1"/>
  <c r="W39" i="1"/>
  <c r="W38" i="1"/>
  <c r="R49" i="1" l="1"/>
  <c r="AE49" i="1" s="1"/>
  <c r="K69" i="1"/>
  <c r="X69" i="1" s="1"/>
  <c r="K71" i="1"/>
  <c r="X71" i="1" s="1"/>
  <c r="J49" i="1"/>
  <c r="W49" i="1" s="1"/>
  <c r="V38" i="1"/>
  <c r="K51" i="1"/>
  <c r="X51" i="1" s="1"/>
  <c r="K52" i="1"/>
  <c r="X52" i="1" s="1"/>
  <c r="X37" i="1"/>
  <c r="X33" i="1"/>
  <c r="K50" i="1"/>
  <c r="X50" i="1" s="1"/>
  <c r="X36" i="1"/>
  <c r="X34" i="1"/>
  <c r="X41" i="1"/>
  <c r="X40" i="1"/>
  <c r="X44" i="1"/>
  <c r="X32" i="1"/>
  <c r="X39" i="1"/>
  <c r="X43" i="1"/>
  <c r="X35" i="1"/>
  <c r="X42" i="1"/>
  <c r="I52" i="1"/>
  <c r="V52" i="1" s="1"/>
  <c r="I53" i="1"/>
  <c r="V53" i="1" s="1"/>
  <c r="I51" i="1"/>
  <c r="V51" i="1" s="1"/>
  <c r="V37" i="1"/>
  <c r="V33" i="1"/>
  <c r="V36" i="1"/>
  <c r="I50" i="1"/>
  <c r="V50" i="1" s="1"/>
  <c r="V34" i="1"/>
  <c r="V41" i="1"/>
  <c r="V44" i="1"/>
  <c r="V43" i="1"/>
  <c r="V42" i="1"/>
  <c r="V40" i="1"/>
  <c r="V35" i="1"/>
  <c r="V32" i="1"/>
  <c r="V39" i="1"/>
  <c r="X38" i="1"/>
  <c r="J47" i="1"/>
  <c r="W47" i="1" s="1"/>
  <c r="I49" i="1" l="1"/>
  <c r="V49" i="1" s="1"/>
  <c r="K49" i="1"/>
  <c r="X49" i="1" s="1"/>
  <c r="K47" i="1"/>
  <c r="X47" i="1" s="1"/>
  <c r="I47" i="1"/>
  <c r="V47" i="1" s="1"/>
  <c r="H5" i="1" l="1"/>
  <c r="I5" i="1" l="1"/>
  <c r="J5" i="1" l="1"/>
  <c r="K5" i="1" l="1"/>
  <c r="L5" i="1" l="1"/>
  <c r="M5" i="1" l="1"/>
  <c r="N5" i="1" s="1"/>
  <c r="O5" i="1" s="1"/>
  <c r="P5" i="1" s="1"/>
  <c r="Q5" i="1" s="1"/>
  <c r="R5" i="1" s="1"/>
  <c r="T41" i="1" l="1"/>
  <c r="T37" i="1"/>
  <c r="T35" i="1"/>
  <c r="T36" i="1"/>
  <c r="T33" i="1"/>
  <c r="T39" i="1"/>
  <c r="T42" i="1"/>
  <c r="T40" i="1"/>
  <c r="T44" i="1"/>
  <c r="T38" i="1"/>
  <c r="T43" i="1"/>
  <c r="T32" i="1"/>
  <c r="T34" i="1"/>
  <c r="G47" i="1"/>
  <c r="G89" i="1" l="1"/>
  <c r="T89" i="1" s="1"/>
  <c r="T47" i="1"/>
  <c r="G90" i="1"/>
  <c r="T90" i="1" s="1"/>
  <c r="G92" i="1" l="1"/>
  <c r="T92" i="1" s="1"/>
  <c r="U38" i="1"/>
  <c r="U33" i="1"/>
  <c r="U44" i="1"/>
  <c r="U41" i="1"/>
  <c r="U42" i="1"/>
  <c r="U43" i="1"/>
  <c r="U40" i="1"/>
  <c r="H47" i="1"/>
  <c r="U47" i="1" s="1"/>
  <c r="U32" i="1"/>
  <c r="U37" i="1"/>
  <c r="U39" i="1"/>
  <c r="U35" i="1"/>
  <c r="U36" i="1"/>
  <c r="U34" i="1"/>
  <c r="H49" i="1"/>
  <c r="U49" i="1" s="1"/>
  <c r="L72" i="1" l="1"/>
  <c r="L81" i="1"/>
  <c r="L77" i="1" l="1"/>
  <c r="L79" i="1"/>
  <c r="L76" i="1"/>
  <c r="L46" i="1" l="1"/>
  <c r="L45" i="1" l="1"/>
  <c r="Y46" i="1" s="1"/>
  <c r="Y88" i="1" l="1"/>
  <c r="Y78" i="1"/>
  <c r="Y45" i="1"/>
  <c r="Y82" i="1"/>
  <c r="Y56" i="1"/>
  <c r="Y86" i="1"/>
  <c r="Y85" i="1"/>
  <c r="Y73" i="1"/>
  <c r="Y80" i="1"/>
  <c r="Y87" i="1"/>
  <c r="Y65" i="1"/>
  <c r="Y84" i="1"/>
  <c r="Y83" i="1"/>
  <c r="Y72" i="1"/>
  <c r="Y81" i="1"/>
  <c r="Y77" i="1"/>
  <c r="Y76" i="1"/>
  <c r="Y79" i="1"/>
  <c r="L53" i="1"/>
  <c r="Y53" i="1" s="1"/>
  <c r="L69" i="1"/>
  <c r="Y69" i="1" s="1"/>
  <c r="L91" i="1"/>
  <c r="Y91" i="1" s="1"/>
  <c r="L71" i="1"/>
  <c r="Y71" i="1" s="1"/>
  <c r="L51" i="1"/>
  <c r="Y51" i="1" s="1"/>
  <c r="Y35" i="1"/>
  <c r="L50" i="1"/>
  <c r="Y50" i="1" s="1"/>
  <c r="Y36" i="1"/>
  <c r="L52" i="1"/>
  <c r="Y52" i="1" s="1"/>
  <c r="Y44" i="1"/>
  <c r="Y37" i="1"/>
  <c r="Y33" i="1"/>
  <c r="Y43" i="1"/>
  <c r="Y34" i="1"/>
  <c r="Y32" i="1"/>
  <c r="Y42" i="1"/>
  <c r="Y40" i="1"/>
  <c r="Y41" i="1"/>
  <c r="Y39" i="1"/>
  <c r="Y38" i="1"/>
  <c r="L49" i="1" l="1"/>
  <c r="Y49" i="1" s="1"/>
  <c r="L47" i="1"/>
  <c r="Y47" i="1" s="1"/>
  <c r="M81" i="1" l="1"/>
  <c r="M72" i="1"/>
  <c r="N72" i="1" l="1"/>
  <c r="N81" i="1"/>
  <c r="M76" i="1"/>
  <c r="M79" i="1"/>
  <c r="M77" i="1"/>
  <c r="N79" i="1" l="1"/>
  <c r="N76" i="1"/>
  <c r="AA76" i="1" s="1"/>
  <c r="O81" i="1"/>
  <c r="AA81" i="1"/>
  <c r="N77" i="1"/>
  <c r="O72" i="1"/>
  <c r="AA72" i="1"/>
  <c r="M46" i="1"/>
  <c r="O76" i="1" l="1"/>
  <c r="AB76" i="1" s="1"/>
  <c r="O77" i="1"/>
  <c r="AA77" i="1"/>
  <c r="P81" i="1"/>
  <c r="AB81" i="1"/>
  <c r="P72" i="1"/>
  <c r="AB72" i="1"/>
  <c r="O79" i="1"/>
  <c r="AA79" i="1"/>
  <c r="M45" i="1"/>
  <c r="Z46" i="1" s="1"/>
  <c r="P76" i="1" l="1"/>
  <c r="AC76" i="1" s="1"/>
  <c r="P79" i="1"/>
  <c r="AB79" i="1"/>
  <c r="Q72" i="1"/>
  <c r="AC72" i="1"/>
  <c r="Q81" i="1"/>
  <c r="AC81" i="1"/>
  <c r="M53" i="1"/>
  <c r="Z53" i="1" s="1"/>
  <c r="Z88" i="1"/>
  <c r="Z78" i="1"/>
  <c r="Z45" i="1"/>
  <c r="Z82" i="1"/>
  <c r="Z56" i="1"/>
  <c r="Z85" i="1"/>
  <c r="Z86" i="1"/>
  <c r="Z73" i="1"/>
  <c r="Z80" i="1"/>
  <c r="Z65" i="1"/>
  <c r="Z87" i="1"/>
  <c r="Z84" i="1"/>
  <c r="Z83" i="1"/>
  <c r="Z72" i="1"/>
  <c r="Z81" i="1"/>
  <c r="Z79" i="1"/>
  <c r="Z76" i="1"/>
  <c r="Z77" i="1"/>
  <c r="P77" i="1"/>
  <c r="AB77" i="1"/>
  <c r="M91" i="1"/>
  <c r="Z91" i="1" s="1"/>
  <c r="M69" i="1"/>
  <c r="M71" i="1"/>
  <c r="Z71" i="1" s="1"/>
  <c r="M52" i="1"/>
  <c r="Z52" i="1" s="1"/>
  <c r="M51" i="1"/>
  <c r="Z51" i="1" s="1"/>
  <c r="M50" i="1"/>
  <c r="Z50" i="1" s="1"/>
  <c r="Z32" i="1"/>
  <c r="Z35" i="1"/>
  <c r="Z43" i="1"/>
  <c r="Z44" i="1"/>
  <c r="Z37" i="1"/>
  <c r="Z33" i="1"/>
  <c r="Z34" i="1"/>
  <c r="Z40" i="1"/>
  <c r="Z36" i="1"/>
  <c r="Z41" i="1"/>
  <c r="Z42" i="1"/>
  <c r="Z39" i="1"/>
  <c r="Z38" i="1"/>
  <c r="Q76" i="1" l="1"/>
  <c r="AD76" i="1" s="1"/>
  <c r="N69" i="1"/>
  <c r="Z69" i="1"/>
  <c r="R72" i="1"/>
  <c r="AE72" i="1" s="1"/>
  <c r="AD72" i="1"/>
  <c r="R81" i="1"/>
  <c r="AE81" i="1" s="1"/>
  <c r="AD81" i="1"/>
  <c r="Q77" i="1"/>
  <c r="AC77" i="1"/>
  <c r="Q79" i="1"/>
  <c r="AC79" i="1"/>
  <c r="N71" i="1"/>
  <c r="M49" i="1"/>
  <c r="Z49" i="1" s="1"/>
  <c r="M47" i="1"/>
  <c r="Z47" i="1" s="1"/>
  <c r="R76" i="1" l="1"/>
  <c r="AE76" i="1" s="1"/>
  <c r="R77" i="1"/>
  <c r="AE77" i="1" s="1"/>
  <c r="AD77" i="1"/>
  <c r="R79" i="1"/>
  <c r="AE79" i="1" s="1"/>
  <c r="AD79" i="1"/>
  <c r="O71" i="1"/>
  <c r="AA71" i="1"/>
  <c r="O69" i="1"/>
  <c r="AA69" i="1"/>
  <c r="J67" i="1"/>
  <c r="W67" i="1" s="1"/>
  <c r="P71" i="1" l="1"/>
  <c r="AB71" i="1"/>
  <c r="P69" i="1"/>
  <c r="AB69" i="1"/>
  <c r="K67" i="1"/>
  <c r="X67" i="1" s="1"/>
  <c r="Q69" i="1" l="1"/>
  <c r="AC69" i="1"/>
  <c r="Q71" i="1"/>
  <c r="AC71" i="1"/>
  <c r="L67" i="1"/>
  <c r="Y67" i="1" s="1"/>
  <c r="R71" i="1" l="1"/>
  <c r="AE71" i="1" s="1"/>
  <c r="AD71" i="1"/>
  <c r="R69" i="1"/>
  <c r="AE69" i="1" s="1"/>
  <c r="AD69" i="1"/>
  <c r="M67" i="1"/>
  <c r="N67" i="1" l="1"/>
  <c r="AA67" i="1" s="1"/>
  <c r="Z67" i="1"/>
  <c r="I66" i="1"/>
  <c r="V66" i="1" s="1"/>
  <c r="J68" i="1"/>
  <c r="W68" i="1" s="1"/>
  <c r="O67" i="1" l="1"/>
  <c r="AB67" i="1" s="1"/>
  <c r="K68" i="1"/>
  <c r="J66" i="1"/>
  <c r="W66" i="1" s="1"/>
  <c r="P67" i="1" l="1"/>
  <c r="AC67" i="1" s="1"/>
  <c r="L68" i="1"/>
  <c r="Y68" i="1" s="1"/>
  <c r="X68" i="1"/>
  <c r="K66" i="1"/>
  <c r="X66" i="1" s="1"/>
  <c r="Q67" i="1" l="1"/>
  <c r="AD67" i="1" s="1"/>
  <c r="L66" i="1"/>
  <c r="Y66" i="1" s="1"/>
  <c r="M68" i="1"/>
  <c r="Z68" i="1" s="1"/>
  <c r="R67" i="1" l="1"/>
  <c r="AE67" i="1" s="1"/>
  <c r="M66" i="1"/>
  <c r="Z66" i="1" s="1"/>
  <c r="N68" i="1"/>
  <c r="AA68" i="1" s="1"/>
  <c r="N66" i="1"/>
  <c r="AA66" i="1" s="1"/>
  <c r="J62" i="1"/>
  <c r="W62" i="1" s="1"/>
  <c r="O68" i="1" l="1"/>
  <c r="O66" i="1" s="1"/>
  <c r="AB66" i="1" s="1"/>
  <c r="K62" i="1"/>
  <c r="X62" i="1" s="1"/>
  <c r="AB68" i="1" l="1"/>
  <c r="P68" i="1"/>
  <c r="P66" i="1" s="1"/>
  <c r="AC66" i="1" s="1"/>
  <c r="Q68" i="1"/>
  <c r="Q66" i="1" s="1"/>
  <c r="AD66" i="1" s="1"/>
  <c r="AC68" i="1"/>
  <c r="L62" i="1"/>
  <c r="Y62" i="1" s="1"/>
  <c r="R68" i="1" l="1"/>
  <c r="AD68" i="1"/>
  <c r="M62" i="1"/>
  <c r="AE68" i="1" l="1"/>
  <c r="R66" i="1"/>
  <c r="AE66" i="1" s="1"/>
  <c r="N62" i="1"/>
  <c r="AA62" i="1" s="1"/>
  <c r="Z62" i="1"/>
  <c r="O62" i="1" l="1"/>
  <c r="AB62" i="1" s="1"/>
  <c r="P62" i="1" l="1"/>
  <c r="AC62" i="1" s="1"/>
  <c r="I59" i="1"/>
  <c r="V59" i="1" s="1"/>
  <c r="I64" i="1"/>
  <c r="I61" i="1"/>
  <c r="V61" i="1" s="1"/>
  <c r="J61" i="1"/>
  <c r="I60" i="1"/>
  <c r="H57" i="1"/>
  <c r="U57" i="1" s="1"/>
  <c r="I58" i="1"/>
  <c r="I63" i="1"/>
  <c r="V63" i="1" s="1"/>
  <c r="Q62" i="1" l="1"/>
  <c r="AD62" i="1" s="1"/>
  <c r="K61" i="1"/>
  <c r="X61" i="1" s="1"/>
  <c r="W61" i="1"/>
  <c r="J64" i="1"/>
  <c r="W64" i="1" s="1"/>
  <c r="V64" i="1"/>
  <c r="J60" i="1"/>
  <c r="W60" i="1" s="1"/>
  <c r="V60" i="1"/>
  <c r="J58" i="1"/>
  <c r="W58" i="1" s="1"/>
  <c r="V58" i="1"/>
  <c r="J59" i="1"/>
  <c r="W59" i="1" s="1"/>
  <c r="J63" i="1"/>
  <c r="L61" i="1"/>
  <c r="Y61" i="1" s="1"/>
  <c r="I57" i="1"/>
  <c r="V57" i="1" s="1"/>
  <c r="R62" i="1" l="1"/>
  <c r="AE62" i="1" s="1"/>
  <c r="K64" i="1"/>
  <c r="X64" i="1" s="1"/>
  <c r="K63" i="1"/>
  <c r="W63" i="1"/>
  <c r="K59" i="1"/>
  <c r="X59" i="1" s="1"/>
  <c r="K58" i="1"/>
  <c r="X58" i="1" s="1"/>
  <c r="K60" i="1"/>
  <c r="X60" i="1" s="1"/>
  <c r="J57" i="1"/>
  <c r="W57" i="1" s="1"/>
  <c r="L60" i="1"/>
  <c r="Y60" i="1" s="1"/>
  <c r="L58" i="1"/>
  <c r="Y58" i="1" s="1"/>
  <c r="M61" i="1"/>
  <c r="K57" i="1" l="1"/>
  <c r="X57" i="1" s="1"/>
  <c r="L64" i="1"/>
  <c r="Y64" i="1" s="1"/>
  <c r="L63" i="1"/>
  <c r="X63" i="1"/>
  <c r="L59" i="1"/>
  <c r="Y59" i="1" s="1"/>
  <c r="Z61" i="1"/>
  <c r="N61" i="1"/>
  <c r="M58" i="1"/>
  <c r="M60" i="1"/>
  <c r="M59" i="1"/>
  <c r="M64" i="1" l="1"/>
  <c r="Z64" i="1" s="1"/>
  <c r="L57" i="1"/>
  <c r="Y57" i="1" s="1"/>
  <c r="Z58" i="1"/>
  <c r="N58" i="1"/>
  <c r="O61" i="1"/>
  <c r="AA61" i="1"/>
  <c r="Z59" i="1"/>
  <c r="N59" i="1"/>
  <c r="Z60" i="1"/>
  <c r="N60" i="1"/>
  <c r="M63" i="1"/>
  <c r="Y63" i="1"/>
  <c r="N64" i="1" l="1"/>
  <c r="AA64" i="1" s="1"/>
  <c r="AA59" i="1"/>
  <c r="O59" i="1"/>
  <c r="N63" i="1"/>
  <c r="Z63" i="1"/>
  <c r="P61" i="1"/>
  <c r="AB61" i="1"/>
  <c r="O58" i="1"/>
  <c r="AA58" i="1"/>
  <c r="O60" i="1"/>
  <c r="AA60" i="1"/>
  <c r="M57" i="1"/>
  <c r="Z57" i="1" s="1"/>
  <c r="O64" i="1" l="1"/>
  <c r="P64" i="1" s="1"/>
  <c r="N57" i="1"/>
  <c r="AA57" i="1" s="1"/>
  <c r="P60" i="1"/>
  <c r="AB60" i="1"/>
  <c r="AB58" i="1"/>
  <c r="P58" i="1"/>
  <c r="AA63" i="1"/>
  <c r="O63" i="1"/>
  <c r="P59" i="1"/>
  <c r="AB59" i="1"/>
  <c r="Q61" i="1"/>
  <c r="AC61" i="1"/>
  <c r="H66" i="1"/>
  <c r="U66" i="1" s="1"/>
  <c r="I70" i="1"/>
  <c r="V70" i="1" s="1"/>
  <c r="AB64" i="1" l="1"/>
  <c r="O57" i="1"/>
  <c r="AB57" i="1" s="1"/>
  <c r="H55" i="1"/>
  <c r="U55" i="1" s="1"/>
  <c r="Q59" i="1"/>
  <c r="AC59" i="1"/>
  <c r="Q64" i="1"/>
  <c r="AC64" i="1"/>
  <c r="P63" i="1"/>
  <c r="P57" i="1" s="1"/>
  <c r="AC57" i="1" s="1"/>
  <c r="AB63" i="1"/>
  <c r="R61" i="1"/>
  <c r="AE61" i="1" s="1"/>
  <c r="AD61" i="1"/>
  <c r="AC58" i="1"/>
  <c r="Q58" i="1"/>
  <c r="Q60" i="1"/>
  <c r="AC60" i="1"/>
  <c r="H54" i="1"/>
  <c r="U54" i="1" s="1"/>
  <c r="J70" i="1"/>
  <c r="W70" i="1" s="1"/>
  <c r="I55" i="1"/>
  <c r="R60" i="1" l="1"/>
  <c r="AE60" i="1" s="1"/>
  <c r="AD60" i="1"/>
  <c r="Q63" i="1"/>
  <c r="Q57" i="1" s="1"/>
  <c r="AD57" i="1" s="1"/>
  <c r="AC63" i="1"/>
  <c r="AD58" i="1"/>
  <c r="R58" i="1"/>
  <c r="V55" i="1"/>
  <c r="R64" i="1"/>
  <c r="AE64" i="1" s="1"/>
  <c r="AD64" i="1"/>
  <c r="R59" i="1"/>
  <c r="AE59" i="1" s="1"/>
  <c r="AD59" i="1"/>
  <c r="H48" i="1"/>
  <c r="J55" i="1"/>
  <c r="K70" i="1"/>
  <c r="X70" i="1" s="1"/>
  <c r="AE58" i="1" l="1"/>
  <c r="W55" i="1"/>
  <c r="R63" i="1"/>
  <c r="AE63" i="1" s="1"/>
  <c r="AD63" i="1"/>
  <c r="H89" i="1"/>
  <c r="U89" i="1" s="1"/>
  <c r="U48" i="1"/>
  <c r="K55" i="1"/>
  <c r="L70" i="1"/>
  <c r="Y70" i="1" s="1"/>
  <c r="H90" i="1"/>
  <c r="U90" i="1" s="1"/>
  <c r="R57" i="1" l="1"/>
  <c r="AE57" i="1" s="1"/>
  <c r="X55" i="1"/>
  <c r="H92" i="1"/>
  <c r="U92" i="1" s="1"/>
  <c r="M70" i="1"/>
  <c r="L55" i="1"/>
  <c r="Y55" i="1" l="1"/>
  <c r="N70" i="1"/>
  <c r="AA70" i="1" s="1"/>
  <c r="Z70" i="1"/>
  <c r="M55" i="1"/>
  <c r="N55" i="1" l="1"/>
  <c r="O70" i="1"/>
  <c r="AB70" i="1" s="1"/>
  <c r="Z55" i="1"/>
  <c r="O55" i="1" l="1"/>
  <c r="P70" i="1"/>
  <c r="AC70" i="1" s="1"/>
  <c r="AA55" i="1"/>
  <c r="Q70" i="1" l="1"/>
  <c r="AD70" i="1" s="1"/>
  <c r="P55" i="1"/>
  <c r="AC55" i="1" s="1"/>
  <c r="AB55" i="1"/>
  <c r="R70" i="1" l="1"/>
  <c r="R55" i="1" s="1"/>
  <c r="Q55" i="1"/>
  <c r="AD55" i="1" s="1"/>
  <c r="AE70" i="1" l="1"/>
  <c r="AE55" i="1"/>
  <c r="Q16" i="1" l="1"/>
  <c r="Q17" i="1" s="1"/>
  <c r="R16" i="1"/>
  <c r="R17" i="1" s="1"/>
  <c r="M16" i="1"/>
  <c r="M17" i="1" s="1"/>
  <c r="J16" i="1"/>
  <c r="J17" i="1" s="1"/>
  <c r="L16" i="1"/>
  <c r="L17" i="1" s="1"/>
  <c r="O16" i="1"/>
  <c r="O17" i="1" s="1"/>
  <c r="N16" i="1"/>
  <c r="N17" i="1" s="1"/>
  <c r="K16" i="1"/>
  <c r="K17" i="1" s="1"/>
  <c r="P16" i="1"/>
  <c r="P17" i="1" s="1"/>
  <c r="I16" i="1"/>
  <c r="I17" i="1" s="1"/>
  <c r="I18" i="1" l="1"/>
  <c r="I21" i="1" s="1"/>
  <c r="I22" i="1" s="1"/>
  <c r="I75" i="1" s="1"/>
  <c r="I74" i="1" s="1"/>
  <c r="V75" i="1" l="1"/>
  <c r="J18" i="1"/>
  <c r="J21" i="1" s="1"/>
  <c r="J22" i="1" s="1"/>
  <c r="J75" i="1" s="1"/>
  <c r="V74" i="1"/>
  <c r="I54" i="1"/>
  <c r="K18" i="1" l="1"/>
  <c r="L18" i="1" s="1"/>
  <c r="J74" i="1"/>
  <c r="W75" i="1"/>
  <c r="I48" i="1"/>
  <c r="V54" i="1"/>
  <c r="K21" i="1" l="1"/>
  <c r="K22" i="1" s="1"/>
  <c r="K75" i="1" s="1"/>
  <c r="J54" i="1"/>
  <c r="W74" i="1"/>
  <c r="K74" i="1"/>
  <c r="X75" i="1"/>
  <c r="M18" i="1"/>
  <c r="L21" i="1"/>
  <c r="L22" i="1" s="1"/>
  <c r="L75" i="1" s="1"/>
  <c r="I90" i="1"/>
  <c r="V48" i="1"/>
  <c r="I89" i="1"/>
  <c r="V89" i="1" s="1"/>
  <c r="Y75" i="1" l="1"/>
  <c r="L74" i="1"/>
  <c r="N18" i="1"/>
  <c r="M21" i="1"/>
  <c r="M22" i="1" s="1"/>
  <c r="M75" i="1" s="1"/>
  <c r="K54" i="1"/>
  <c r="X74" i="1"/>
  <c r="W54" i="1"/>
  <c r="J48" i="1"/>
  <c r="V90" i="1"/>
  <c r="I92" i="1"/>
  <c r="V92" i="1" s="1"/>
  <c r="O18" i="1" l="1"/>
  <c r="N21" i="1"/>
  <c r="N22" i="1" s="1"/>
  <c r="N75" i="1" s="1"/>
  <c r="J89" i="1"/>
  <c r="W89" i="1" s="1"/>
  <c r="W48" i="1"/>
  <c r="J90" i="1"/>
  <c r="K48" i="1"/>
  <c r="X54" i="1"/>
  <c r="M74" i="1"/>
  <c r="Z75" i="1"/>
  <c r="Y74" i="1"/>
  <c r="L54" i="1"/>
  <c r="AA75" i="1" l="1"/>
  <c r="N74" i="1"/>
  <c r="P18" i="1"/>
  <c r="O21" i="1"/>
  <c r="O22" i="1" s="1"/>
  <c r="O75" i="1" s="1"/>
  <c r="Y54" i="1"/>
  <c r="L48" i="1"/>
  <c r="Z74" i="1"/>
  <c r="M54" i="1"/>
  <c r="K90" i="1"/>
  <c r="K89" i="1"/>
  <c r="X89" i="1" s="1"/>
  <c r="X48" i="1"/>
  <c r="W90" i="1"/>
  <c r="J92" i="1"/>
  <c r="W92" i="1" s="1"/>
  <c r="AB75" i="1" l="1"/>
  <c r="O74" i="1"/>
  <c r="Q18" i="1"/>
  <c r="P21" i="1"/>
  <c r="P22" i="1" s="1"/>
  <c r="P75" i="1" s="1"/>
  <c r="AA74" i="1"/>
  <c r="N54" i="1"/>
  <c r="K92" i="1"/>
  <c r="X92" i="1" s="1"/>
  <c r="X90" i="1"/>
  <c r="Z54" i="1"/>
  <c r="M48" i="1"/>
  <c r="Y48" i="1"/>
  <c r="L90" i="1"/>
  <c r="L89" i="1"/>
  <c r="Y89" i="1" s="1"/>
  <c r="N48" i="1" l="1"/>
  <c r="AA54" i="1"/>
  <c r="AC75" i="1"/>
  <c r="P74" i="1"/>
  <c r="R18" i="1"/>
  <c r="R21" i="1" s="1"/>
  <c r="R22" i="1" s="1"/>
  <c r="R75" i="1" s="1"/>
  <c r="Q21" i="1"/>
  <c r="Q22" i="1" s="1"/>
  <c r="Q75" i="1" s="1"/>
  <c r="AB74" i="1"/>
  <c r="O54" i="1"/>
  <c r="Y90" i="1"/>
  <c r="L92" i="1"/>
  <c r="Y92" i="1" s="1"/>
  <c r="M89" i="1"/>
  <c r="Z89" i="1" s="1"/>
  <c r="M90" i="1"/>
  <c r="Z48" i="1"/>
  <c r="O48" i="1" l="1"/>
  <c r="AB54" i="1"/>
  <c r="AD75" i="1"/>
  <c r="Q74" i="1"/>
  <c r="AE75" i="1"/>
  <c r="R74" i="1"/>
  <c r="AC74" i="1"/>
  <c r="P54" i="1"/>
  <c r="AA48" i="1"/>
  <c r="N89" i="1"/>
  <c r="AA89" i="1" s="1"/>
  <c r="N90" i="1"/>
  <c r="Z90" i="1"/>
  <c r="M92" i="1"/>
  <c r="Z92" i="1" s="1"/>
  <c r="N92" i="1" l="1"/>
  <c r="AA92" i="1" s="1"/>
  <c r="AA90" i="1"/>
  <c r="AC54" i="1"/>
  <c r="P48" i="1"/>
  <c r="AE74" i="1"/>
  <c r="R54" i="1"/>
  <c r="AD74" i="1"/>
  <c r="Q54" i="1"/>
  <c r="AB48" i="1"/>
  <c r="O90" i="1"/>
  <c r="O89" i="1"/>
  <c r="AB89" i="1" s="1"/>
  <c r="O92" i="1" l="1"/>
  <c r="AB92" i="1" s="1"/>
  <c r="AB90" i="1"/>
  <c r="Q48" i="1"/>
  <c r="AD54" i="1"/>
  <c r="R48" i="1"/>
  <c r="AE54" i="1"/>
  <c r="AC48" i="1"/>
  <c r="P89" i="1"/>
  <c r="AC89" i="1" s="1"/>
  <c r="P90" i="1"/>
  <c r="P92" i="1" l="1"/>
  <c r="AC92" i="1" s="1"/>
  <c r="AC90" i="1"/>
  <c r="AE48" i="1"/>
  <c r="R90" i="1"/>
  <c r="R89" i="1"/>
  <c r="AE89" i="1" s="1"/>
  <c r="AD48" i="1"/>
  <c r="Q90" i="1"/>
  <c r="Q89" i="1"/>
  <c r="AD89" i="1" s="1"/>
  <c r="Q92" i="1" l="1"/>
  <c r="AD92" i="1" s="1"/>
  <c r="AD90" i="1"/>
  <c r="R92" i="1"/>
  <c r="AE92" i="1" s="1"/>
  <c r="AE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이상협</author>
  </authors>
  <commentList>
    <comment ref="J82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소방시설종합정밀점검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 - 27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
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건물관리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도급료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9.4</t>
        </r>
        <r>
          <rPr>
            <sz val="9"/>
            <color indexed="81"/>
            <rFont val="돋움"/>
            <family val="3"/>
            <charset val="129"/>
          </rPr>
          <t xml:space="preserve">억원
</t>
        </r>
        <r>
          <rPr>
            <sz val="9"/>
            <color indexed="81"/>
            <rFont val="Tahoma"/>
            <family val="2"/>
          </rPr>
          <t xml:space="preserve"> - 27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
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연간</t>
        </r>
        <r>
          <rPr>
            <sz val="9"/>
            <color indexed="81"/>
            <rFont val="Tahoma"/>
            <family val="2"/>
          </rPr>
          <t xml:space="preserve"> 1,800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150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)
 - 27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
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전기요금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연간</t>
        </r>
        <r>
          <rPr>
            <sz val="9"/>
            <color indexed="81"/>
            <rFont val="Tahoma"/>
            <family val="2"/>
          </rPr>
          <t xml:space="preserve"> 3.6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>)
 - 27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
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연간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>)
 - 27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</t>
        </r>
      </text>
    </comment>
    <comment ref="L82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세종센터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관리비용의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sharedStrings.xml><?xml version="1.0" encoding="utf-8"?>
<sst xmlns="http://schemas.openxmlformats.org/spreadsheetml/2006/main" count="178" uniqueCount="127">
  <si>
    <t>매출액(VAT포함)</t>
    <phoneticPr fontId="3" type="noConversion"/>
  </si>
  <si>
    <t>매출액(VAT제외)</t>
    <phoneticPr fontId="3" type="noConversion"/>
  </si>
  <si>
    <t>실매출액(쿠폰 차감 후)</t>
    <phoneticPr fontId="3" type="noConversion"/>
  </si>
  <si>
    <t>항목</t>
    <phoneticPr fontId="3" type="noConversion"/>
  </si>
  <si>
    <t>매출원가</t>
    <phoneticPr fontId="3" type="noConversion"/>
  </si>
  <si>
    <t>매출총이익</t>
    <phoneticPr fontId="3" type="noConversion"/>
  </si>
  <si>
    <t>판관비</t>
    <phoneticPr fontId="3" type="noConversion"/>
  </si>
  <si>
    <t xml:space="preserve">  결제수수료</t>
  </si>
  <si>
    <t xml:space="preserve">  플랫폼비용</t>
  </si>
  <si>
    <t xml:space="preserve">  고객유입비용</t>
  </si>
  <si>
    <t xml:space="preserve">  알림비용(마케팅)</t>
  </si>
  <si>
    <t xml:space="preserve">  포장비</t>
  </si>
  <si>
    <t>직접이익(EBITDA 기준)</t>
    <phoneticPr fontId="3" type="noConversion"/>
  </si>
  <si>
    <t>직접이익</t>
  </si>
  <si>
    <t>간접비</t>
  </si>
  <si>
    <t>영업이익</t>
  </si>
  <si>
    <t>2. 실매출비</t>
    <phoneticPr fontId="3" type="noConversion"/>
  </si>
  <si>
    <t>토지</t>
    <phoneticPr fontId="3" type="noConversion"/>
  </si>
  <si>
    <t>건축 (설계/공사,CM/감리)</t>
    <phoneticPr fontId="3" type="noConversion"/>
  </si>
  <si>
    <t>물류시스템 (물류용기)</t>
    <phoneticPr fontId="3" type="noConversion"/>
  </si>
  <si>
    <t>물류시스템 (구축공사_DLS)</t>
    <phoneticPr fontId="3" type="noConversion"/>
  </si>
  <si>
    <t>레버</t>
    <phoneticPr fontId="3" type="noConversion"/>
  </si>
  <si>
    <t>비고</t>
    <phoneticPr fontId="3" type="noConversion"/>
  </si>
  <si>
    <t>상각비 대상 x</t>
    <phoneticPr fontId="3" type="noConversion"/>
  </si>
  <si>
    <t>건물/구축물 (30개년 정액법) 추정</t>
    <phoneticPr fontId="3" type="noConversion"/>
  </si>
  <si>
    <t>기계장치 (10개년 정율법_0.259) 추정</t>
    <phoneticPr fontId="3" type="noConversion"/>
  </si>
  <si>
    <t>기계장치 (10개년 정율법_0.259) 추정</t>
    <phoneticPr fontId="3" type="noConversion"/>
  </si>
  <si>
    <t xml:space="preserve">비용총액 </t>
    <phoneticPr fontId="3" type="noConversion"/>
  </si>
  <si>
    <t xml:space="preserve">  25년</t>
    <phoneticPr fontId="3" type="noConversion"/>
  </si>
  <si>
    <t xml:space="preserve">  26년</t>
    <phoneticPr fontId="3" type="noConversion"/>
  </si>
  <si>
    <t xml:space="preserve">  27년</t>
    <phoneticPr fontId="3" type="noConversion"/>
  </si>
  <si>
    <t>[양주센터(통합)]</t>
    <phoneticPr fontId="3" type="noConversion"/>
  </si>
  <si>
    <t>물류시스템 (구축공사)</t>
    <phoneticPr fontId="3" type="noConversion"/>
  </si>
  <si>
    <t>비용총액 (온라인 추정 배부)</t>
    <phoneticPr fontId="3" type="noConversion"/>
  </si>
  <si>
    <t xml:space="preserve">capa 기준 배분 </t>
    <phoneticPr fontId="3" type="noConversion"/>
  </si>
  <si>
    <t>상각비화 (온라인 추정 배부)</t>
    <phoneticPr fontId="3" type="noConversion"/>
  </si>
  <si>
    <t xml:space="preserve">  28년</t>
    <phoneticPr fontId="3" type="noConversion"/>
  </si>
  <si>
    <t>물류 투자 상각비 반영 내역</t>
    <phoneticPr fontId="3" type="noConversion"/>
  </si>
  <si>
    <t>변동비</t>
    <phoneticPr fontId="3" type="noConversion"/>
  </si>
  <si>
    <t xml:space="preserve">  운반비(대량반품, 마케팅 등)</t>
  </si>
  <si>
    <t xml:space="preserve">  기타변동비</t>
  </si>
  <si>
    <t xml:space="preserve">  운반비(택배)</t>
    <phoneticPr fontId="3" type="noConversion"/>
  </si>
  <si>
    <t>고정비</t>
    <phoneticPr fontId="3" type="noConversion"/>
  </si>
  <si>
    <t>온라인사업본부 고정비</t>
  </si>
  <si>
    <t xml:space="preserve">  온라인 인건비성(관리+현장)</t>
  </si>
  <si>
    <t xml:space="preserve">    솔루션비용</t>
  </si>
  <si>
    <t xml:space="preserve">    개발 라이센스</t>
  </si>
  <si>
    <t xml:space="preserve">    기획 라이센스</t>
  </si>
  <si>
    <t xml:space="preserve">    기타 라이센스</t>
  </si>
  <si>
    <t xml:space="preserve">    알림비용(플랫폼)</t>
  </si>
  <si>
    <t xml:space="preserve">    서버비용</t>
  </si>
  <si>
    <t xml:space="preserve">    멤버십 서버비용</t>
  </si>
  <si>
    <t xml:space="preserve">    외주용역비용(개발+퍼블+디자인)</t>
  </si>
  <si>
    <t xml:space="preserve">    광고비(네이버, 구글, 메타 등)</t>
  </si>
  <si>
    <t xml:space="preserve">    EP</t>
  </si>
  <si>
    <t xml:space="preserve">  상품촬영비용</t>
  </si>
  <si>
    <t xml:space="preserve">  CS비용</t>
  </si>
  <si>
    <t xml:space="preserve">  매장 배송수수료 (대량, 오늘)</t>
  </si>
  <si>
    <t xml:space="preserve">  온라인 기타고정비</t>
  </si>
  <si>
    <t>온라인안성센터 고정비</t>
  </si>
  <si>
    <t xml:space="preserve">  물류 인건비성(관리+현장)</t>
  </si>
  <si>
    <t xml:space="preserve">  소모품비</t>
  </si>
  <si>
    <t xml:space="preserve">  지급임차료</t>
  </si>
  <si>
    <t xml:space="preserve">  통근버스 대여료</t>
  </si>
  <si>
    <t xml:space="preserve">  WMS 운영비</t>
  </si>
  <si>
    <t xml:space="preserve">  물류 기타고정비</t>
  </si>
  <si>
    <t>상각비용</t>
  </si>
  <si>
    <t xml:space="preserve">  감가상각비</t>
  </si>
  <si>
    <t xml:space="preserve">  무형자산상각비</t>
  </si>
  <si>
    <t>이자비용</t>
  </si>
  <si>
    <t>영업외손익</t>
  </si>
  <si>
    <t>27년부터 매년 5% 증가 가정</t>
    <phoneticPr fontId="3" type="noConversion"/>
  </si>
  <si>
    <t>27년부터 매년 4% 증가 가정</t>
    <phoneticPr fontId="3" type="noConversion"/>
  </si>
  <si>
    <t>27년부터 매년 2% 증가 가정</t>
    <phoneticPr fontId="3" type="noConversion"/>
  </si>
  <si>
    <t>다이소몰 중장기 손익 시뮬레이션</t>
    <phoneticPr fontId="3" type="noConversion"/>
  </si>
  <si>
    <t>매년 매출비 -0.005%p 감소</t>
    <phoneticPr fontId="3" type="noConversion"/>
  </si>
  <si>
    <t>전년 매출비 수준 유지</t>
    <phoneticPr fontId="3" type="noConversion"/>
  </si>
  <si>
    <t>27년도부터 개발, 퍼블 외주만 운영 가정</t>
    <phoneticPr fontId="3" type="noConversion"/>
  </si>
  <si>
    <t>설비</t>
    <phoneticPr fontId="3" type="noConversion"/>
  </si>
  <si>
    <t>설비</t>
    <phoneticPr fontId="3" type="noConversion"/>
  </si>
  <si>
    <t>건축</t>
    <phoneticPr fontId="3" type="noConversion"/>
  </si>
  <si>
    <t>감가상각비</t>
    <phoneticPr fontId="3" type="noConversion"/>
  </si>
  <si>
    <t>신규(세종)</t>
    <phoneticPr fontId="3" type="noConversion"/>
  </si>
  <si>
    <t>토지</t>
    <phoneticPr fontId="3" type="noConversion"/>
  </si>
  <si>
    <t>집기비품</t>
    <phoneticPr fontId="3" type="noConversion"/>
  </si>
  <si>
    <t>무형자산상각비</t>
    <phoneticPr fontId="3" type="noConversion"/>
  </si>
  <si>
    <t>기존(남사)</t>
    <phoneticPr fontId="3" type="noConversion"/>
  </si>
  <si>
    <t>기계장치</t>
    <phoneticPr fontId="3" type="noConversion"/>
  </si>
  <si>
    <t>영업권</t>
    <phoneticPr fontId="3" type="noConversion"/>
  </si>
  <si>
    <t>소프트웨어</t>
    <phoneticPr fontId="3" type="noConversion"/>
  </si>
  <si>
    <t>기타비용</t>
    <phoneticPr fontId="3" type="noConversion"/>
  </si>
  <si>
    <t>1. 실적 (백만원)</t>
    <phoneticPr fontId="3" type="noConversion"/>
  </si>
  <si>
    <t xml:space="preserve">  상품매출</t>
    <phoneticPr fontId="3" type="noConversion"/>
  </si>
  <si>
    <t xml:space="preserve">    온라인</t>
    <phoneticPr fontId="3" type="noConversion"/>
  </si>
  <si>
    <t xml:space="preserve">    매장</t>
    <phoneticPr fontId="3" type="noConversion"/>
  </si>
  <si>
    <t xml:space="preserve">  배송비매출</t>
    <phoneticPr fontId="3" type="noConversion"/>
  </si>
  <si>
    <t>인시</t>
    <phoneticPr fontId="3" type="noConversion"/>
  </si>
  <si>
    <t>인시당 생산성</t>
    <phoneticPr fontId="3" type="noConversion"/>
  </si>
  <si>
    <t>택배 출고건수</t>
    <phoneticPr fontId="3" type="noConversion"/>
  </si>
  <si>
    <t>택배 주문건수</t>
    <phoneticPr fontId="3" type="noConversion"/>
  </si>
  <si>
    <t>인당 근무시간</t>
    <phoneticPr fontId="3" type="noConversion"/>
  </si>
  <si>
    <t>1인당 하루 인건비성 비용</t>
    <phoneticPr fontId="3" type="noConversion"/>
  </si>
  <si>
    <t>물류 근무인원(일 근무인원의 합계)</t>
    <phoneticPr fontId="3" type="noConversion"/>
  </si>
  <si>
    <t>신규(양주)</t>
    <phoneticPr fontId="3" type="noConversion"/>
  </si>
  <si>
    <t>세종센터 비용 총액</t>
    <phoneticPr fontId="3" type="noConversion"/>
  </si>
  <si>
    <t>양주센터 비용 총액</t>
    <phoneticPr fontId="3" type="noConversion"/>
  </si>
  <si>
    <t>월 감가상각비</t>
    <phoneticPr fontId="3" type="noConversion"/>
  </si>
  <si>
    <t xml:space="preserve">  세종 및 양주센터 관리비</t>
    <phoneticPr fontId="3" type="noConversion"/>
  </si>
  <si>
    <t>2.4% 기준 연마다 0.05%p 증가</t>
    <phoneticPr fontId="3" type="noConversion"/>
  </si>
  <si>
    <t>매년 -0.03%p 감소</t>
    <phoneticPr fontId="3" type="noConversion"/>
  </si>
  <si>
    <t>매년 매출비 -0.05%p 감소</t>
    <phoneticPr fontId="3" type="noConversion"/>
  </si>
  <si>
    <t>택배매출 비중</t>
    <phoneticPr fontId="3" type="noConversion"/>
  </si>
  <si>
    <t>회원수</t>
    <phoneticPr fontId="3" type="noConversion"/>
  </si>
  <si>
    <t>구매전환율</t>
    <phoneticPr fontId="3" type="noConversion"/>
  </si>
  <si>
    <t>전체 주문건수</t>
    <phoneticPr fontId="3" type="noConversion"/>
  </si>
  <si>
    <t>전체 방문자수</t>
    <phoneticPr fontId="3" type="noConversion"/>
  </si>
  <si>
    <t>회원수 比 방문자수</t>
    <phoneticPr fontId="3" type="noConversion"/>
  </si>
  <si>
    <t>회원수 신장</t>
    <phoneticPr fontId="3" type="noConversion"/>
  </si>
  <si>
    <t>전체 주문단가</t>
    <phoneticPr fontId="3" type="noConversion"/>
  </si>
  <si>
    <t>택배 주문단가</t>
    <phoneticPr fontId="3" type="noConversion"/>
  </si>
  <si>
    <t>日 주문건수</t>
    <phoneticPr fontId="3" type="noConversion"/>
  </si>
  <si>
    <t>택배주문 비중</t>
    <phoneticPr fontId="3" type="noConversion"/>
  </si>
  <si>
    <t>매출 신장률</t>
    <phoneticPr fontId="3" type="noConversion"/>
  </si>
  <si>
    <t>기존(안성)</t>
    <phoneticPr fontId="3" type="noConversion"/>
  </si>
  <si>
    <t>매출 신장액</t>
    <phoneticPr fontId="3" type="noConversion"/>
  </si>
  <si>
    <t>日 방문자수</t>
    <phoneticPr fontId="3" type="noConversion"/>
  </si>
  <si>
    <t>27년부터 매년 15% 증가, 31년부터 10% 증가 가정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</si>
</sst>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&quot;년&quot;"/>
    <numFmt numFmtId="177" formatCode="#,##0,,"/>
    <numFmt numFmtId="178" formatCode="0.0%"/>
    <numFmt numFmtId="179" formatCode="#,##0&quot;개&quot;&quot;년&quot;"/>
    <numFmt numFmtId="180" formatCode="#,##0.0,,"/>
    <numFmt numFmtId="181" formatCode="#,##0.0"/>
    <numFmt numFmtId="182" formatCode="#,##0&quot;개&quot;&quot;월&quot;"/>
  </numFmts>
  <fonts count="13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1" tint="0.499984740745262"/>
      </top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78" fontId="0" fillId="0" borderId="0" xfId="1" applyNumberFormat="1" applyFont="1">
      <alignment vertical="center"/>
    </xf>
    <xf numFmtId="0" fontId="0" fillId="0" borderId="0" xfId="0" applyAlignment="1">
      <alignment horizontal="left" vertical="center" indent="1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178" fontId="0" fillId="0" borderId="0" xfId="1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177" fontId="4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9" fontId="0" fillId="0" borderId="1" xfId="1" applyFont="1" applyBorder="1">
      <alignment vertical="center"/>
    </xf>
    <xf numFmtId="177" fontId="2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9" fontId="5" fillId="0" borderId="1" xfId="1" applyFont="1" applyBorder="1">
      <alignment vertical="center"/>
    </xf>
    <xf numFmtId="178" fontId="5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177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9" fontId="5" fillId="0" borderId="1" xfId="0" applyNumberFormat="1" applyFont="1" applyBorder="1">
      <alignment vertical="center"/>
    </xf>
    <xf numFmtId="10" fontId="5" fillId="0" borderId="1" xfId="1" applyNumberFormat="1" applyFont="1" applyBorder="1">
      <alignment vertical="center"/>
    </xf>
    <xf numFmtId="0" fontId="5" fillId="0" borderId="2" xfId="0" applyFont="1" applyBorder="1">
      <alignment vertical="center"/>
    </xf>
    <xf numFmtId="9" fontId="5" fillId="0" borderId="2" xfId="0" applyNumberFormat="1" applyFont="1" applyBorder="1">
      <alignment vertical="center"/>
    </xf>
    <xf numFmtId="177" fontId="5" fillId="0" borderId="2" xfId="0" applyNumberFormat="1" applyFont="1" applyBorder="1">
      <alignment vertical="center"/>
    </xf>
    <xf numFmtId="179" fontId="0" fillId="0" borderId="0" xfId="0" applyNumberFormat="1">
      <alignment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177" fontId="8" fillId="0" borderId="0" xfId="0" applyNumberFormat="1" applyFont="1">
      <alignment vertical="center"/>
    </xf>
    <xf numFmtId="177" fontId="5" fillId="2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177" fontId="0" fillId="3" borderId="0" xfId="0" applyNumberFormat="1" applyFill="1">
      <alignment vertical="center"/>
    </xf>
    <xf numFmtId="180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10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178" fontId="5" fillId="0" borderId="1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178" fontId="5" fillId="0" borderId="2" xfId="1" applyNumberFormat="1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3" xfId="0" applyFont="1" applyBorder="1">
      <alignment vertical="center"/>
    </xf>
    <xf numFmtId="177" fontId="2" fillId="0" borderId="3" xfId="0" applyNumberFormat="1" applyFont="1" applyBorder="1">
      <alignment vertical="center"/>
    </xf>
    <xf numFmtId="181" fontId="0" fillId="0" borderId="0" xfId="0" applyNumberFormat="1" applyAlignment="1">
      <alignment vertical="center"/>
    </xf>
    <xf numFmtId="181" fontId="0" fillId="4" borderId="0" xfId="0" applyNumberFormat="1" applyFill="1" applyAlignment="1">
      <alignment vertical="center"/>
    </xf>
    <xf numFmtId="0" fontId="5" fillId="0" borderId="0" xfId="0" applyFont="1" applyAlignment="1">
      <alignment horizontal="left" vertical="center" indent="1"/>
    </xf>
    <xf numFmtId="3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9" fontId="5" fillId="0" borderId="0" xfId="1" applyFont="1" applyBorder="1">
      <alignment vertical="center"/>
    </xf>
    <xf numFmtId="9" fontId="0" fillId="0" borderId="0" xfId="1" applyFont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4" xfId="0" applyNumberFormat="1" applyBorder="1" applyAlignment="1">
      <alignment horizontal="center" vertical="center"/>
    </xf>
    <xf numFmtId="9" fontId="5" fillId="0" borderId="5" xfId="1" applyFont="1" applyBorder="1">
      <alignment vertical="center"/>
    </xf>
    <xf numFmtId="0" fontId="0" fillId="0" borderId="0" xfId="0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178" fontId="0" fillId="0" borderId="0" xfId="1" applyNumberFormat="1" applyFont="1" applyBorder="1" applyAlignment="1">
      <alignment vertical="center"/>
    </xf>
    <xf numFmtId="181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178" fontId="0" fillId="4" borderId="0" xfId="1" applyNumberFormat="1" applyFont="1" applyFill="1" applyBorder="1" applyAlignment="1">
      <alignment vertical="center"/>
    </xf>
    <xf numFmtId="181" fontId="0" fillId="4" borderId="0" xfId="0" applyNumberFormat="1" applyFill="1" applyBorder="1" applyAlignment="1">
      <alignment vertical="center"/>
    </xf>
    <xf numFmtId="3" fontId="0" fillId="0" borderId="0" xfId="1" applyNumberFormat="1" applyFont="1" applyBorder="1" applyAlignment="1">
      <alignment vertical="center"/>
    </xf>
    <xf numFmtId="3" fontId="0" fillId="4" borderId="0" xfId="1" applyNumberFormat="1" applyFont="1" applyFill="1" applyBorder="1" applyAlignment="1">
      <alignment vertical="center"/>
    </xf>
    <xf numFmtId="177" fontId="0" fillId="0" borderId="0" xfId="0" applyNumberFormat="1" applyAlignment="1">
      <alignment vertical="center"/>
    </xf>
    <xf numFmtId="3" fontId="0" fillId="0" borderId="0" xfId="1" applyNumberFormat="1" applyFont="1" applyFill="1" applyBorder="1" applyAlignment="1">
      <alignment vertical="center"/>
    </xf>
    <xf numFmtId="3" fontId="0" fillId="4" borderId="0" xfId="0" applyNumberFormat="1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176" fontId="0" fillId="0" borderId="6" xfId="0" applyNumberFormat="1" applyBorder="1" applyAlignment="1">
      <alignment horizontal="center" vertical="center"/>
    </xf>
    <xf numFmtId="178" fontId="0" fillId="0" borderId="6" xfId="1" applyNumberFormat="1" applyFont="1" applyBorder="1" applyAlignment="1">
      <alignment vertical="center"/>
    </xf>
    <xf numFmtId="177" fontId="0" fillId="0" borderId="0" xfId="1" applyNumberFormat="1" applyFont="1" applyAlignment="1">
      <alignment vertical="center"/>
    </xf>
    <xf numFmtId="178" fontId="11" fillId="0" borderId="0" xfId="0" applyNumberFormat="1" applyFont="1">
      <alignment vertical="center"/>
    </xf>
    <xf numFmtId="10" fontId="6" fillId="0" borderId="1" xfId="0" applyNumberFormat="1" applyFont="1" applyBorder="1">
      <alignment vertical="center"/>
    </xf>
    <xf numFmtId="0" fontId="12" fillId="0" borderId="0" xfId="0" applyFont="1" applyAlignment="1">
      <alignment horizontal="right" vertical="center"/>
    </xf>
    <xf numFmtId="182" fontId="0" fillId="0" borderId="0" xfId="0" applyNumberFormat="1">
      <alignment vertical="center"/>
    </xf>
  </cellXfs>
  <cellStyles count="5">
    <cellStyle name="백분율" xfId="1" builtinId="5"/>
    <cellStyle name="표준" xfId="0" builtinId="0"/>
    <cellStyle name="표준 3" xfId="4" xr:uid="{00000000-0005-0000-0000-000002000000}"/>
    <cellStyle name="표준 7" xfId="2" xr:uid="{00000000-0005-0000-0000-000003000000}"/>
    <cellStyle name="표준 7 3" xfId="3" xr:uid="{00000000-0005-0000-0000-000004000000}"/>
  </cellStyles>
  <dxfs count="7">
    <dxf>
      <font>
        <color theme="0" tint="-0.24994659260841701"/>
      </font>
    </dxf>
    <dxf>
      <font>
        <color rgb="FFC00000"/>
      </font>
    </dxf>
    <dxf>
      <font>
        <color theme="0" tint="-0.24994659260841701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466726</xdr:colOff>
      <xdr:row>99</xdr:row>
      <xdr:rowOff>38101</xdr:rowOff>
    </xdr:from>
    <xdr:to>
      <xdr:col>24</xdr:col>
      <xdr:colOff>161926</xdr:colOff>
      <xdr:row>112</xdr:row>
      <xdr:rowOff>88973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4301" y="10048876"/>
          <a:ext cx="2266950" cy="2279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159"/>
  <sheetViews>
    <sheetView showGridLines="0" tabSelected="1" workbookViewId="0">
      <pane xSplit="6" ySplit="31" topLeftCell="G45" activePane="bottomRight" state="frozen"/>
      <selection pane="topRight" activeCell="G1" sqref="G1"/>
      <selection pane="bottomLeft" activeCell="A30" sqref="A30"/>
      <selection pane="bottomRight" activeCell="K76" sqref="K76"/>
    </sheetView>
  </sheetViews>
  <sheetFormatPr defaultRowHeight="13.5" outlineLevelRow="1" outlineLevelCol="1" x14ac:dyDescent="0.25"/>
  <cols>
    <col min="1" max="2" width="2.5703125" customWidth="1"/>
    <col min="3" max="3" width="36.140625" customWidth="1"/>
    <col min="4" max="4" width="8.28515625" customWidth="1" outlineLevel="1"/>
    <col min="5" max="5" width="34.140625" customWidth="1" outlineLevel="1"/>
    <col min="6" max="6" width="1.7109375" customWidth="1" outlineLevel="1"/>
    <col min="7" max="18" width="10.7109375" customWidth="1"/>
    <col min="19" max="19" width="5.7109375" customWidth="1"/>
    <col min="20" max="31" width="7.7109375" customWidth="1"/>
    <col min="32" max="32" width="10.7109375" customWidth="1"/>
  </cols>
  <sheetData>
    <row r="1" spans="2:31" ht="5.25" customHeight="1" x14ac:dyDescent="0.25"/>
    <row r="2" spans="2:31" x14ac:dyDescent="0.25">
      <c r="B2" s="8" t="s">
        <v>74</v>
      </c>
      <c r="C2" s="8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2:31" ht="6.75" customHeight="1" x14ac:dyDescent="0.25"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2:31" x14ac:dyDescent="0.25">
      <c r="G4" s="4" t="s">
        <v>91</v>
      </c>
      <c r="H4" s="4"/>
      <c r="I4" s="4"/>
      <c r="J4" s="4"/>
      <c r="K4" s="4"/>
      <c r="L4" s="4"/>
      <c r="M4" s="88"/>
      <c r="N4" s="88"/>
      <c r="O4" s="88"/>
      <c r="P4" s="88"/>
      <c r="Q4" s="88"/>
      <c r="R4" s="88"/>
      <c r="S4" s="4"/>
      <c r="T4" s="4" t="s">
        <v>16</v>
      </c>
    </row>
    <row r="5" spans="2:31" x14ac:dyDescent="0.25">
      <c r="C5" s="64" t="s">
        <v>3</v>
      </c>
      <c r="D5" s="64" t="s">
        <v>21</v>
      </c>
      <c r="E5" s="64" t="s">
        <v>22</v>
      </c>
      <c r="F5" s="65"/>
      <c r="G5" s="66">
        <v>24</v>
      </c>
      <c r="H5" s="66">
        <f>G5+1</f>
        <v>25</v>
      </c>
      <c r="I5" s="66">
        <f>H5+1</f>
        <v>26</v>
      </c>
      <c r="J5" s="66">
        <f>I5+1</f>
        <v>27</v>
      </c>
      <c r="K5" s="66">
        <f>J5+1</f>
        <v>28</v>
      </c>
      <c r="L5" s="66">
        <f t="shared" ref="L5:M5" si="0">K5+1</f>
        <v>29</v>
      </c>
      <c r="M5" s="66">
        <f t="shared" si="0"/>
        <v>30</v>
      </c>
      <c r="N5" s="66">
        <f t="shared" ref="N5" si="1">M5+1</f>
        <v>31</v>
      </c>
      <c r="O5" s="66">
        <f t="shared" ref="O5" si="2">N5+1</f>
        <v>32</v>
      </c>
      <c r="P5" s="66">
        <f t="shared" ref="P5" si="3">O5+1</f>
        <v>33</v>
      </c>
      <c r="Q5" s="66">
        <f t="shared" ref="Q5" si="4">P5+1</f>
        <v>34</v>
      </c>
      <c r="R5" s="66">
        <f t="shared" ref="R5" si="5">Q5+1</f>
        <v>35</v>
      </c>
      <c r="S5" s="51"/>
      <c r="T5" s="66">
        <v>24</v>
      </c>
      <c r="U5" s="66">
        <f>T5+1</f>
        <v>25</v>
      </c>
      <c r="V5" s="66">
        <f>U5+1</f>
        <v>26</v>
      </c>
      <c r="W5" s="66">
        <f>V5+1</f>
        <v>27</v>
      </c>
      <c r="X5" s="66">
        <f>W5+1</f>
        <v>28</v>
      </c>
      <c r="Y5" s="66">
        <f t="shared" ref="Y5:Z5" si="6">X5+1</f>
        <v>29</v>
      </c>
      <c r="Z5" s="66">
        <f t="shared" si="6"/>
        <v>30</v>
      </c>
      <c r="AA5" s="66">
        <f t="shared" ref="AA5" si="7">Z5+1</f>
        <v>31</v>
      </c>
      <c r="AB5" s="66">
        <f t="shared" ref="AB5" si="8">AA5+1</f>
        <v>32</v>
      </c>
      <c r="AC5" s="66">
        <f t="shared" ref="AC5" si="9">AB5+1</f>
        <v>33</v>
      </c>
      <c r="AD5" s="66">
        <f t="shared" ref="AD5" si="10">AC5+1</f>
        <v>34</v>
      </c>
      <c r="AE5" s="66">
        <f t="shared" ref="AE5" si="11">AD5+1</f>
        <v>35</v>
      </c>
    </row>
    <row r="6" spans="2:31" hidden="1" outlineLevel="1" x14ac:dyDescent="0.25">
      <c r="C6" s="68" t="s">
        <v>112</v>
      </c>
      <c r="D6" s="68"/>
      <c r="E6" s="68"/>
      <c r="F6" s="68"/>
      <c r="G6" s="58">
        <v>4361490</v>
      </c>
      <c r="H6" s="58">
        <v>7321004</v>
      </c>
      <c r="I6" s="58">
        <v>9500000</v>
      </c>
      <c r="J6" s="58">
        <f>I6*(1+J7)</f>
        <v>11868350</v>
      </c>
      <c r="K6" s="58">
        <f t="shared" ref="K6:R6" si="12">J6*(1+K7)</f>
        <v>14617943.9333915</v>
      </c>
      <c r="L6" s="58">
        <f t="shared" si="12"/>
        <v>17448270.23777476</v>
      </c>
      <c r="M6" s="58">
        <f t="shared" si="12"/>
        <v>20334347.261914965</v>
      </c>
      <c r="N6" s="58">
        <f t="shared" si="12"/>
        <v>22977812.405963909</v>
      </c>
      <c r="O6" s="58">
        <f t="shared" si="12"/>
        <v>25620260.83264976</v>
      </c>
      <c r="P6" s="58">
        <f t="shared" si="12"/>
        <v>28182286.915914737</v>
      </c>
      <c r="Q6" s="58">
        <f t="shared" si="12"/>
        <v>30577781.303767487</v>
      </c>
      <c r="R6" s="58">
        <f t="shared" si="12"/>
        <v>32718225.995031215</v>
      </c>
      <c r="S6" s="51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2:31" hidden="1" outlineLevel="1" x14ac:dyDescent="0.25">
      <c r="C7" s="72" t="s">
        <v>117</v>
      </c>
      <c r="D7" s="68"/>
      <c r="E7" s="68"/>
      <c r="F7" s="68"/>
      <c r="G7" s="58"/>
      <c r="H7" s="70">
        <f>H6/G6-1</f>
        <v>0.67855572292954935</v>
      </c>
      <c r="I7" s="70">
        <f>I6/H6-1</f>
        <v>0.29763622585098992</v>
      </c>
      <c r="J7" s="73">
        <v>0.24929999999999999</v>
      </c>
      <c r="K7" s="73">
        <f>J7*92.93%</f>
        <v>0.23167449000000001</v>
      </c>
      <c r="L7" s="73">
        <v>0.19361999999999999</v>
      </c>
      <c r="M7" s="73">
        <f>L7*85.429%</f>
        <v>0.16540762979999998</v>
      </c>
      <c r="N7" s="73">
        <v>0.13</v>
      </c>
      <c r="O7" s="73">
        <v>0.115</v>
      </c>
      <c r="P7" s="73">
        <v>0.1</v>
      </c>
      <c r="Q7" s="73">
        <v>8.5000000000000006E-2</v>
      </c>
      <c r="R7" s="73">
        <v>7.0000000000000007E-2</v>
      </c>
      <c r="S7" s="51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2:31" hidden="1" outlineLevel="1" x14ac:dyDescent="0.25">
      <c r="C8" s="68" t="s">
        <v>115</v>
      </c>
      <c r="D8" s="68"/>
      <c r="E8" s="68"/>
      <c r="F8" s="68"/>
      <c r="G8" s="58">
        <v>98010962</v>
      </c>
      <c r="H8" s="58">
        <v>157224974</v>
      </c>
      <c r="I8" s="58">
        <f>I6*I9</f>
        <v>227998100</v>
      </c>
      <c r="J8" s="58">
        <f>J6*J9</f>
        <v>299079927.64649999</v>
      </c>
      <c r="K8" s="58">
        <f t="shared" ref="K8:R8" si="13">K6*K9</f>
        <v>375733368.56280702</v>
      </c>
      <c r="L8" s="58">
        <f t="shared" si="13"/>
        <v>457457453.96311367</v>
      </c>
      <c r="M8" s="58">
        <f t="shared" si="13"/>
        <v>543789560.92268062</v>
      </c>
      <c r="N8" s="58">
        <f t="shared" si="13"/>
        <v>625616209.04280722</v>
      </c>
      <c r="O8" s="58">
        <f t="shared" si="13"/>
        <v>703195456.03461313</v>
      </c>
      <c r="P8" s="58">
        <f t="shared" si="13"/>
        <v>780899042.63291323</v>
      </c>
      <c r="Q8" s="58">
        <f t="shared" si="13"/>
        <v>854618409.65899754</v>
      </c>
      <c r="R8" s="58">
        <f t="shared" si="13"/>
        <v>924570933.92092919</v>
      </c>
      <c r="S8" s="51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2:31" hidden="1" outlineLevel="1" x14ac:dyDescent="0.25">
      <c r="C9" s="72" t="s">
        <v>116</v>
      </c>
      <c r="D9" s="68"/>
      <c r="E9" s="68"/>
      <c r="F9" s="68"/>
      <c r="G9" s="71">
        <f>G8/G6</f>
        <v>22.471898823567177</v>
      </c>
      <c r="H9" s="71">
        <f>H8/H6</f>
        <v>21.475875986408422</v>
      </c>
      <c r="I9" s="74">
        <v>23.9998</v>
      </c>
      <c r="J9" s="74">
        <f>I9*105%</f>
        <v>25.19979</v>
      </c>
      <c r="K9" s="74">
        <f>J9*101.99915%</f>
        <v>25.703571601784997</v>
      </c>
      <c r="L9" s="74">
        <f>K9*102.0011%</f>
        <v>26.217925773108316</v>
      </c>
      <c r="M9" s="74">
        <f>L9*102.0005%</f>
        <v>26.74241537819935</v>
      </c>
      <c r="N9" s="74">
        <v>27.226970000000001</v>
      </c>
      <c r="O9" s="74">
        <v>27.446850000000001</v>
      </c>
      <c r="P9" s="74">
        <v>27.708860000000001</v>
      </c>
      <c r="Q9" s="74">
        <v>27.949000000000002</v>
      </c>
      <c r="R9" s="74">
        <v>28.258590000000002</v>
      </c>
      <c r="S9" s="51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2:31" hidden="1" outlineLevel="1" x14ac:dyDescent="0.25">
      <c r="C10" s="72" t="s">
        <v>125</v>
      </c>
      <c r="D10" s="68"/>
      <c r="E10" s="68"/>
      <c r="F10" s="68"/>
      <c r="G10" s="58">
        <f>G8/365</f>
        <v>268523.18356164382</v>
      </c>
      <c r="H10" s="58">
        <f t="shared" ref="H10:R10" si="14">H8/365</f>
        <v>430753.35342465754</v>
      </c>
      <c r="I10" s="58">
        <f t="shared" si="14"/>
        <v>624652.32876712328</v>
      </c>
      <c r="J10" s="58">
        <f t="shared" si="14"/>
        <v>819397.0620452055</v>
      </c>
      <c r="K10" s="58">
        <f t="shared" si="14"/>
        <v>1029406.4892131699</v>
      </c>
      <c r="L10" s="58">
        <f t="shared" si="14"/>
        <v>1253308.0930496266</v>
      </c>
      <c r="M10" s="58">
        <f t="shared" si="14"/>
        <v>1489834.4134867962</v>
      </c>
      <c r="N10" s="58">
        <f t="shared" si="14"/>
        <v>1714017.0110761842</v>
      </c>
      <c r="O10" s="58">
        <f t="shared" si="14"/>
        <v>1926562.8932455154</v>
      </c>
      <c r="P10" s="58">
        <f t="shared" si="14"/>
        <v>2139449.4318709951</v>
      </c>
      <c r="Q10" s="58">
        <f t="shared" si="14"/>
        <v>2341420.3004356096</v>
      </c>
      <c r="R10" s="58">
        <f t="shared" si="14"/>
        <v>2533071.0518381624</v>
      </c>
      <c r="S10" s="51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2:31" hidden="1" outlineLevel="1" x14ac:dyDescent="0.25">
      <c r="C11" s="68" t="s">
        <v>114</v>
      </c>
      <c r="D11" s="68"/>
      <c r="E11" s="68"/>
      <c r="F11" s="68"/>
      <c r="G11" s="58">
        <v>2758046</v>
      </c>
      <c r="H11" s="58">
        <v>5092664</v>
      </c>
      <c r="I11" s="58">
        <f>I8*I13</f>
        <v>7843134.6399999997</v>
      </c>
      <c r="J11" s="58">
        <f>J8*J13</f>
        <v>10497705.460392149</v>
      </c>
      <c r="K11" s="58">
        <f t="shared" ref="K11:R11" si="15">K8*K13</f>
        <v>13451254.594548492</v>
      </c>
      <c r="L11" s="58">
        <f t="shared" si="15"/>
        <v>16697197.069653647</v>
      </c>
      <c r="M11" s="58">
        <f t="shared" si="15"/>
        <v>20228971.666323718</v>
      </c>
      <c r="N11" s="58">
        <f t="shared" si="15"/>
        <v>23710854.32272239</v>
      </c>
      <c r="O11" s="58">
        <f t="shared" si="15"/>
        <v>27143344.602936063</v>
      </c>
      <c r="P11" s="58">
        <f t="shared" si="15"/>
        <v>30689332.375473484</v>
      </c>
      <c r="Q11" s="58">
        <f t="shared" si="15"/>
        <v>34184736.386359893</v>
      </c>
      <c r="R11" s="58">
        <f t="shared" si="15"/>
        <v>37630037.010581814</v>
      </c>
      <c r="S11" s="51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2:31" hidden="1" outlineLevel="1" x14ac:dyDescent="0.25">
      <c r="C12" s="72" t="s">
        <v>120</v>
      </c>
      <c r="D12" s="68"/>
      <c r="E12" s="68"/>
      <c r="F12" s="68"/>
      <c r="G12" s="58">
        <f>G11/365</f>
        <v>7556.2904109589044</v>
      </c>
      <c r="H12" s="58">
        <f t="shared" ref="H12:R12" si="16">H11/365</f>
        <v>13952.504109589041</v>
      </c>
      <c r="I12" s="58">
        <f t="shared" si="16"/>
        <v>21488.040109589041</v>
      </c>
      <c r="J12" s="58">
        <f t="shared" si="16"/>
        <v>28760.836877786711</v>
      </c>
      <c r="K12" s="58">
        <f t="shared" si="16"/>
        <v>36852.752313831486</v>
      </c>
      <c r="L12" s="58">
        <f t="shared" si="16"/>
        <v>45745.745396311358</v>
      </c>
      <c r="M12" s="58">
        <f t="shared" si="16"/>
        <v>55421.840181708816</v>
      </c>
      <c r="N12" s="58">
        <f t="shared" si="16"/>
        <v>64961.24471978737</v>
      </c>
      <c r="O12" s="58">
        <f t="shared" si="16"/>
        <v>74365.327679276888</v>
      </c>
      <c r="P12" s="58">
        <f t="shared" si="16"/>
        <v>84080.3626725301</v>
      </c>
      <c r="Q12" s="58">
        <f t="shared" si="16"/>
        <v>93656.812017424367</v>
      </c>
      <c r="R12" s="58">
        <f t="shared" si="16"/>
        <v>103095.99180981319</v>
      </c>
      <c r="S12" s="51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2:31" hidden="1" outlineLevel="1" x14ac:dyDescent="0.25">
      <c r="C13" s="68" t="s">
        <v>113</v>
      </c>
      <c r="D13" s="68"/>
      <c r="E13" s="68"/>
      <c r="F13" s="68"/>
      <c r="G13" s="70">
        <f>IFERROR(G11/G8,0)</f>
        <v>2.8140178850606528E-2</v>
      </c>
      <c r="H13" s="70">
        <f t="shared" ref="H13" si="17">IFERROR(H11/H8,0)</f>
        <v>3.2390935552007151E-2</v>
      </c>
      <c r="I13" s="73">
        <v>3.44E-2</v>
      </c>
      <c r="J13" s="73">
        <f>I13+0.07%</f>
        <v>3.5099999999999999E-2</v>
      </c>
      <c r="K13" s="73">
        <f t="shared" ref="K13:R13" si="18">J13+0.07%</f>
        <v>3.5799999999999998E-2</v>
      </c>
      <c r="L13" s="73">
        <f t="shared" si="18"/>
        <v>3.6499999999999998E-2</v>
      </c>
      <c r="M13" s="73">
        <f t="shared" si="18"/>
        <v>3.7199999999999997E-2</v>
      </c>
      <c r="N13" s="73">
        <f t="shared" si="18"/>
        <v>3.7899999999999996E-2</v>
      </c>
      <c r="O13" s="73">
        <f t="shared" si="18"/>
        <v>3.8599999999999995E-2</v>
      </c>
      <c r="P13" s="73">
        <f t="shared" si="18"/>
        <v>3.9299999999999995E-2</v>
      </c>
      <c r="Q13" s="73">
        <f t="shared" si="18"/>
        <v>3.9999999999999994E-2</v>
      </c>
      <c r="R13" s="73">
        <f t="shared" si="18"/>
        <v>4.0699999999999993E-2</v>
      </c>
      <c r="S13" s="51"/>
      <c r="T13" s="58"/>
      <c r="U13" s="69"/>
      <c r="V13" s="58"/>
      <c r="W13" s="58"/>
      <c r="X13" s="58"/>
      <c r="Y13" s="69"/>
      <c r="Z13" s="58"/>
      <c r="AA13" s="58"/>
      <c r="AB13" s="58"/>
      <c r="AC13" s="58"/>
      <c r="AD13" s="58"/>
      <c r="AE13" s="58"/>
    </row>
    <row r="14" spans="2:31" hidden="1" outlineLevel="1" x14ac:dyDescent="0.25">
      <c r="C14" s="68" t="s">
        <v>118</v>
      </c>
      <c r="D14" s="68"/>
      <c r="E14" s="68"/>
      <c r="F14" s="68"/>
      <c r="G14" s="75">
        <f>G31/G11</f>
        <v>27674.581907558135</v>
      </c>
      <c r="H14" s="75">
        <f>H31/H11</f>
        <v>28746.980215070147</v>
      </c>
      <c r="I14" s="76">
        <v>29325</v>
      </c>
      <c r="J14" s="78">
        <f>I14*100.7%</f>
        <v>29530.275000000005</v>
      </c>
      <c r="K14" s="78">
        <f t="shared" ref="K14:R14" si="19">J14*100.7%</f>
        <v>29736.986925000008</v>
      </c>
      <c r="L14" s="78">
        <f t="shared" si="19"/>
        <v>29945.145833475013</v>
      </c>
      <c r="M14" s="78">
        <f t="shared" si="19"/>
        <v>30154.761854309341</v>
      </c>
      <c r="N14" s="78">
        <f t="shared" si="19"/>
        <v>30365.845187289509</v>
      </c>
      <c r="O14" s="78">
        <f t="shared" si="19"/>
        <v>30578.406103600541</v>
      </c>
      <c r="P14" s="78">
        <f t="shared" si="19"/>
        <v>30792.454946325746</v>
      </c>
      <c r="Q14" s="78">
        <f t="shared" si="19"/>
        <v>31008.00213095003</v>
      </c>
      <c r="R14" s="78">
        <f t="shared" si="19"/>
        <v>31225.058145866682</v>
      </c>
      <c r="S14" s="51"/>
      <c r="T14" s="58"/>
      <c r="U14" s="69"/>
      <c r="V14" s="58"/>
      <c r="W14" s="58"/>
      <c r="X14" s="58"/>
      <c r="Y14" s="69"/>
      <c r="Z14" s="58"/>
      <c r="AA14" s="58"/>
      <c r="AB14" s="58"/>
      <c r="AC14" s="58"/>
      <c r="AD14" s="58"/>
      <c r="AE14" s="58"/>
    </row>
    <row r="15" spans="2:31" hidden="1" outlineLevel="1" x14ac:dyDescent="0.25">
      <c r="C15" s="68"/>
      <c r="D15" s="68"/>
      <c r="E15" s="68"/>
      <c r="F15" s="68"/>
      <c r="G15" s="59"/>
      <c r="H15" s="59"/>
      <c r="I15" s="70"/>
      <c r="J15" s="59"/>
      <c r="K15" s="59"/>
      <c r="L15" s="59"/>
      <c r="M15" s="59"/>
      <c r="N15" s="59"/>
      <c r="O15" s="59"/>
      <c r="P15" s="59"/>
      <c r="Q15" s="59"/>
      <c r="R15" s="59"/>
      <c r="S15" s="51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spans="2:31" hidden="1" outlineLevel="1" x14ac:dyDescent="0.25">
      <c r="C16" s="62" t="s">
        <v>99</v>
      </c>
      <c r="D16" s="63"/>
      <c r="E16" s="63"/>
      <c r="G16" s="58">
        <v>2429985</v>
      </c>
      <c r="H16" s="58">
        <v>4313694</v>
      </c>
      <c r="I16" s="58">
        <f>I33/I19</f>
        <v>6668422.7377033541</v>
      </c>
      <c r="J16" s="58">
        <f t="shared" ref="J16:R16" si="20">J33/J19</f>
        <v>8973389.081285648</v>
      </c>
      <c r="K16" s="58">
        <f t="shared" si="20"/>
        <v>11534961.141041366</v>
      </c>
      <c r="L16" s="58">
        <f t="shared" si="20"/>
        <v>14349009.769049944</v>
      </c>
      <c r="M16" s="58">
        <f t="shared" si="20"/>
        <v>17476566.719198823</v>
      </c>
      <c r="N16" s="58">
        <f t="shared" si="20"/>
        <v>20441341.779169131</v>
      </c>
      <c r="O16" s="58">
        <f t="shared" si="20"/>
        <v>23400522.668078907</v>
      </c>
      <c r="P16" s="58">
        <f t="shared" si="20"/>
        <v>26457550.770762201</v>
      </c>
      <c r="Q16" s="58">
        <f t="shared" si="20"/>
        <v>29470970.155416574</v>
      </c>
      <c r="R16" s="58">
        <f t="shared" si="20"/>
        <v>32441194.957658924</v>
      </c>
      <c r="S16" s="51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 spans="3:31" hidden="1" outlineLevel="1" x14ac:dyDescent="0.25">
      <c r="C17" s="72" t="s">
        <v>120</v>
      </c>
      <c r="D17" s="63"/>
      <c r="E17" s="63"/>
      <c r="G17" s="58">
        <f>G16/365</f>
        <v>6657.4931506849316</v>
      </c>
      <c r="H17" s="58">
        <f t="shared" ref="H17:R17" si="21">H16/365</f>
        <v>11818.339726027398</v>
      </c>
      <c r="I17" s="58">
        <f t="shared" si="21"/>
        <v>18269.651336173574</v>
      </c>
      <c r="J17" s="58">
        <f t="shared" si="21"/>
        <v>24584.62761996068</v>
      </c>
      <c r="K17" s="58">
        <f t="shared" si="21"/>
        <v>31602.633263127031</v>
      </c>
      <c r="L17" s="58">
        <f t="shared" si="21"/>
        <v>39312.355531643683</v>
      </c>
      <c r="M17" s="58">
        <f t="shared" si="21"/>
        <v>47881.004710133762</v>
      </c>
      <c r="N17" s="58">
        <f t="shared" si="21"/>
        <v>56003.676107312691</v>
      </c>
      <c r="O17" s="58">
        <f t="shared" si="21"/>
        <v>64111.02100843536</v>
      </c>
      <c r="P17" s="58">
        <f t="shared" si="21"/>
        <v>72486.440467841647</v>
      </c>
      <c r="Q17" s="58">
        <f t="shared" si="21"/>
        <v>80742.383987442663</v>
      </c>
      <c r="R17" s="58">
        <f t="shared" si="21"/>
        <v>88879.986185366914</v>
      </c>
      <c r="S17" s="51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 spans="3:31" hidden="1" outlineLevel="1" x14ac:dyDescent="0.25">
      <c r="C18" s="50" t="s">
        <v>98</v>
      </c>
      <c r="D18" s="1"/>
      <c r="E18" s="1"/>
      <c r="G18" s="11">
        <v>2439180</v>
      </c>
      <c r="H18" s="11">
        <v>4311300</v>
      </c>
      <c r="I18" s="11">
        <f t="shared" ref="I18:R18" si="22">H18/H16*I16</f>
        <v>6664721.9179340191</v>
      </c>
      <c r="J18" s="11">
        <f t="shared" si="22"/>
        <v>8968409.058720164</v>
      </c>
      <c r="K18" s="11">
        <f t="shared" si="22"/>
        <v>11528559.505465999</v>
      </c>
      <c r="L18" s="11">
        <f t="shared" si="22"/>
        <v>14341046.401832173</v>
      </c>
      <c r="M18" s="11">
        <f t="shared" si="22"/>
        <v>17466867.630499959</v>
      </c>
      <c r="N18" s="11">
        <f t="shared" si="22"/>
        <v>20429997.309158202</v>
      </c>
      <c r="O18" s="11">
        <f t="shared" si="22"/>
        <v>23387535.921390947</v>
      </c>
      <c r="P18" s="11">
        <f t="shared" si="22"/>
        <v>26442867.444465715</v>
      </c>
      <c r="Q18" s="11">
        <f t="shared" si="22"/>
        <v>29454614.451337412</v>
      </c>
      <c r="R18" s="11">
        <f t="shared" si="22"/>
        <v>32423190.847787287</v>
      </c>
      <c r="S18" s="51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 spans="3:31" hidden="1" outlineLevel="1" x14ac:dyDescent="0.25">
      <c r="C19" s="51" t="s">
        <v>119</v>
      </c>
      <c r="D19" s="1"/>
      <c r="E19" s="1"/>
      <c r="G19" s="11">
        <f>G33/G16</f>
        <v>28360.655292110856</v>
      </c>
      <c r="H19" s="11">
        <f>H33/H16</f>
        <v>30497.57945278455</v>
      </c>
      <c r="I19" s="79">
        <f>H19/H14*I14</f>
        <v>31110.798795626633</v>
      </c>
      <c r="J19" s="79">
        <f t="shared" ref="J19:R19" si="23">I19/I14*J14</f>
        <v>31328.574387196026</v>
      </c>
      <c r="K19" s="79">
        <f t="shared" si="23"/>
        <v>31547.874407906402</v>
      </c>
      <c r="L19" s="79">
        <f t="shared" si="23"/>
        <v>31768.709528761752</v>
      </c>
      <c r="M19" s="79">
        <f t="shared" si="23"/>
        <v>31991.090495463086</v>
      </c>
      <c r="N19" s="79">
        <f t="shared" si="23"/>
        <v>32215.028128931332</v>
      </c>
      <c r="O19" s="79">
        <f t="shared" si="23"/>
        <v>32440.533325833854</v>
      </c>
      <c r="P19" s="79">
        <f t="shared" si="23"/>
        <v>32667.617059114695</v>
      </c>
      <c r="Q19" s="79">
        <f t="shared" si="23"/>
        <v>32896.290378528502</v>
      </c>
      <c r="R19" s="79">
        <f t="shared" si="23"/>
        <v>33126.564411178202</v>
      </c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</row>
    <row r="20" spans="3:31" hidden="1" outlineLevel="1" x14ac:dyDescent="0.25">
      <c r="C20" s="51" t="s">
        <v>97</v>
      </c>
      <c r="D20" s="1"/>
      <c r="E20" s="1"/>
      <c r="G20" s="55">
        <f>G18/G21</f>
        <v>4.1633468175533821</v>
      </c>
      <c r="H20" s="55">
        <f>H18/H21</f>
        <v>6.7680574938736937</v>
      </c>
      <c r="I20" s="56">
        <v>7.8</v>
      </c>
      <c r="J20" s="56">
        <v>11</v>
      </c>
      <c r="K20" s="56">
        <v>11.5</v>
      </c>
      <c r="L20" s="56">
        <v>11.8</v>
      </c>
      <c r="M20" s="56">
        <v>12</v>
      </c>
      <c r="N20" s="56">
        <v>13</v>
      </c>
      <c r="O20" s="56">
        <v>13</v>
      </c>
      <c r="P20" s="56">
        <v>13</v>
      </c>
      <c r="Q20" s="56">
        <v>13</v>
      </c>
      <c r="R20" s="56">
        <v>13</v>
      </c>
      <c r="S20" s="51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spans="3:31" hidden="1" outlineLevel="1" x14ac:dyDescent="0.25">
      <c r="C21" s="51" t="s">
        <v>96</v>
      </c>
      <c r="D21" s="1"/>
      <c r="E21" s="1"/>
      <c r="G21" s="11">
        <v>585870</v>
      </c>
      <c r="H21" s="11">
        <v>637007</v>
      </c>
      <c r="I21" s="11">
        <f>I18/I20</f>
        <v>854451.52794025885</v>
      </c>
      <c r="J21" s="11">
        <f>J18/J20</f>
        <v>815309.91442910582</v>
      </c>
      <c r="K21" s="11">
        <f>K18/K20</f>
        <v>1002483.435257913</v>
      </c>
      <c r="L21" s="11">
        <f>L18/L20</f>
        <v>1215342.9154095061</v>
      </c>
      <c r="M21" s="11">
        <f>M18/M20</f>
        <v>1455572.3025416632</v>
      </c>
      <c r="N21" s="11">
        <f t="shared" ref="N21:R21" si="24">N18/N20</f>
        <v>1571538.2545506309</v>
      </c>
      <c r="O21" s="11">
        <f t="shared" si="24"/>
        <v>1799041.2247223805</v>
      </c>
      <c r="P21" s="11">
        <f t="shared" si="24"/>
        <v>2034066.7264973628</v>
      </c>
      <c r="Q21" s="11">
        <f t="shared" si="24"/>
        <v>2265739.573179801</v>
      </c>
      <c r="R21" s="11">
        <f t="shared" si="24"/>
        <v>2494091.6036759452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3:31" hidden="1" outlineLevel="1" x14ac:dyDescent="0.25">
      <c r="C22" s="51" t="s">
        <v>102</v>
      </c>
      <c r="D22" s="1"/>
      <c r="E22" s="1"/>
      <c r="G22" s="11">
        <v>73058</v>
      </c>
      <c r="H22" s="11">
        <v>79138</v>
      </c>
      <c r="I22" s="11">
        <f>I21/I23</f>
        <v>106806.44099253236</v>
      </c>
      <c r="J22" s="11">
        <f>J21/J23</f>
        <v>101913.73930363823</v>
      </c>
      <c r="K22" s="11">
        <f t="shared" ref="K22:M22" si="25">K21/K23</f>
        <v>125310.42940723912</v>
      </c>
      <c r="L22" s="11">
        <f t="shared" si="25"/>
        <v>151917.86442618826</v>
      </c>
      <c r="M22" s="11">
        <f t="shared" si="25"/>
        <v>181946.5378177079</v>
      </c>
      <c r="N22" s="11">
        <f t="shared" ref="N22:R22" si="26">N21/N23</f>
        <v>196442.28181882887</v>
      </c>
      <c r="O22" s="11">
        <f t="shared" si="26"/>
        <v>224880.15309029756</v>
      </c>
      <c r="P22" s="11">
        <f t="shared" si="26"/>
        <v>254258.34081217035</v>
      </c>
      <c r="Q22" s="11">
        <f t="shared" si="26"/>
        <v>283217.44664747512</v>
      </c>
      <c r="R22" s="11">
        <f t="shared" si="26"/>
        <v>311761.45045949315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3:31" hidden="1" outlineLevel="1" x14ac:dyDescent="0.25">
      <c r="C23" s="7" t="s">
        <v>100</v>
      </c>
      <c r="D23" s="1"/>
      <c r="E23" s="1"/>
      <c r="G23" s="55">
        <f>G21/G22</f>
        <v>8.019244983437817</v>
      </c>
      <c r="H23" s="55">
        <f>H21/H22</f>
        <v>8.049318911268923</v>
      </c>
      <c r="I23" s="56">
        <v>8</v>
      </c>
      <c r="J23" s="56">
        <v>8</v>
      </c>
      <c r="K23" s="56">
        <v>8</v>
      </c>
      <c r="L23" s="56">
        <v>8</v>
      </c>
      <c r="M23" s="56">
        <v>8</v>
      </c>
      <c r="N23" s="56">
        <v>8</v>
      </c>
      <c r="O23" s="56">
        <v>8</v>
      </c>
      <c r="P23" s="56">
        <v>8</v>
      </c>
      <c r="Q23" s="56">
        <v>8</v>
      </c>
      <c r="R23" s="56">
        <v>8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3:31" hidden="1" outlineLevel="1" x14ac:dyDescent="0.25">
      <c r="C24" s="7" t="s">
        <v>101</v>
      </c>
      <c r="D24" s="1"/>
      <c r="E24" s="1"/>
      <c r="G24" s="11">
        <f>G75/G22</f>
        <v>189716.24251964194</v>
      </c>
      <c r="H24" s="11">
        <f t="shared" ref="H24" si="27">H75/H22</f>
        <v>201013.66697414641</v>
      </c>
      <c r="I24" s="11">
        <f>H24*106%</f>
        <v>213074.48699259522</v>
      </c>
      <c r="J24" s="11">
        <f t="shared" ref="J24:M24" si="28">I24*106%</f>
        <v>225858.95621215095</v>
      </c>
      <c r="K24" s="11">
        <f t="shared" si="28"/>
        <v>239410.49358488002</v>
      </c>
      <c r="L24" s="11">
        <f t="shared" si="28"/>
        <v>253775.12319997285</v>
      </c>
      <c r="M24" s="11">
        <f t="shared" si="28"/>
        <v>269001.63059197122</v>
      </c>
      <c r="N24" s="11">
        <f t="shared" ref="N24" si="29">M24*106%</f>
        <v>285141.72842748952</v>
      </c>
      <c r="O24" s="11">
        <f t="shared" ref="O24" si="30">N24*106%</f>
        <v>302250.23213313892</v>
      </c>
      <c r="P24" s="11">
        <f t="shared" ref="P24" si="31">O24*106%</f>
        <v>320385.24606112728</v>
      </c>
      <c r="Q24" s="11">
        <f t="shared" ref="Q24" si="32">P24*106%</f>
        <v>339608.36082479492</v>
      </c>
      <c r="R24" s="11">
        <f t="shared" ref="R24" si="33">Q24*106%</f>
        <v>359984.86247428262</v>
      </c>
      <c r="S24" s="55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3:31" hidden="1" outlineLevel="1" x14ac:dyDescent="0.25">
      <c r="C25" s="51" t="s">
        <v>121</v>
      </c>
      <c r="D25" s="1"/>
      <c r="E25" s="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55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3:31" hidden="1" outlineLevel="1" x14ac:dyDescent="0.25">
      <c r="C26" s="51" t="s">
        <v>111</v>
      </c>
      <c r="D26" s="1"/>
      <c r="E26" s="1"/>
      <c r="G26" s="10">
        <f>(G33+G36)/G31</f>
        <v>0.94041631917353397</v>
      </c>
      <c r="H26" s="10">
        <f t="shared" ref="H26" si="34">(H33+H36)/H31</f>
        <v>0.92651788285465531</v>
      </c>
      <c r="I26" s="10">
        <v>0.93</v>
      </c>
      <c r="J26" s="10">
        <v>0.93500000000000005</v>
      </c>
      <c r="K26" s="10">
        <v>0.93799999999999994</v>
      </c>
      <c r="L26" s="10">
        <v>0.94</v>
      </c>
      <c r="M26" s="10">
        <v>0.94499999999999995</v>
      </c>
      <c r="N26" s="10">
        <v>0.94299999999999995</v>
      </c>
      <c r="O26" s="10">
        <v>0.94299999999999995</v>
      </c>
      <c r="P26" s="10">
        <v>0.94299999999999995</v>
      </c>
      <c r="Q26" s="10">
        <v>0.94299999999999995</v>
      </c>
      <c r="R26" s="10">
        <v>0.94299999999999995</v>
      </c>
      <c r="S26" s="5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3:31" hidden="1" outlineLevel="1" x14ac:dyDescent="0.25">
      <c r="C27" s="80" t="s">
        <v>122</v>
      </c>
      <c r="D27" s="81"/>
      <c r="E27" s="81"/>
      <c r="F27" s="82"/>
      <c r="G27" s="83"/>
      <c r="H27" s="84">
        <f>H31/G31-1</f>
        <v>0.91802683847286959</v>
      </c>
      <c r="I27" s="84">
        <f t="shared" ref="I27:R27" si="35">I31/H31-1</f>
        <v>0.57105155745010006</v>
      </c>
      <c r="J27" s="84">
        <f t="shared" si="35"/>
        <v>0.3478270976889537</v>
      </c>
      <c r="K27" s="84">
        <f t="shared" si="35"/>
        <v>0.29032134001255683</v>
      </c>
      <c r="L27" s="84">
        <f t="shared" si="35"/>
        <v>0.25000068439382694</v>
      </c>
      <c r="M27" s="84">
        <f t="shared" si="35"/>
        <v>0.21999964323416443</v>
      </c>
      <c r="N27" s="84">
        <f t="shared" si="35"/>
        <v>0.18032842681422734</v>
      </c>
      <c r="O27" s="84">
        <f t="shared" si="35"/>
        <v>0.15277786464921883</v>
      </c>
      <c r="P27" s="84">
        <f t="shared" si="35"/>
        <v>0.13855378377942928</v>
      </c>
      <c r="Q27" s="84">
        <f t="shared" si="35"/>
        <v>0.1216936595393534</v>
      </c>
      <c r="R27" s="84">
        <f t="shared" si="35"/>
        <v>0.10849025838256332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3:31" hidden="1" outlineLevel="1" x14ac:dyDescent="0.25">
      <c r="C28" s="51" t="s">
        <v>124</v>
      </c>
      <c r="D28" s="1"/>
      <c r="E28" s="1"/>
      <c r="G28" s="2"/>
      <c r="H28" s="85">
        <f>H31-G31</f>
        <v>70070941318.18692</v>
      </c>
      <c r="I28" s="85">
        <f t="shared" ref="I28:R28" si="36">I31-H31</f>
        <v>83601212068</v>
      </c>
      <c r="J28" s="85">
        <f t="shared" si="36"/>
        <v>80000205796.381836</v>
      </c>
      <c r="K28" s="85">
        <f t="shared" si="36"/>
        <v>89999652888.552979</v>
      </c>
      <c r="L28" s="85">
        <f t="shared" si="36"/>
        <v>100000219258.1153</v>
      </c>
      <c r="M28" s="85">
        <f t="shared" si="36"/>
        <v>109999821894.51276</v>
      </c>
      <c r="N28" s="85">
        <f t="shared" si="36"/>
        <v>110000308466.59949</v>
      </c>
      <c r="O28" s="85">
        <f t="shared" si="36"/>
        <v>110000082656.3905</v>
      </c>
      <c r="P28" s="85">
        <f t="shared" si="36"/>
        <v>114999670226.03052</v>
      </c>
      <c r="Q28" s="85">
        <f t="shared" si="36"/>
        <v>115000494209.62915</v>
      </c>
      <c r="R28" s="85">
        <f t="shared" si="36"/>
        <v>114999714972.31995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3:31" hidden="1" outlineLevel="1" x14ac:dyDescent="0.25">
      <c r="C29" s="51"/>
      <c r="D29" s="1"/>
      <c r="E29" s="1"/>
      <c r="G29" s="2"/>
      <c r="H29" s="10"/>
      <c r="I29" s="77"/>
      <c r="J29" s="77"/>
      <c r="K29" s="77"/>
      <c r="L29" s="77"/>
      <c r="M29" s="77"/>
      <c r="N29" s="77"/>
      <c r="O29" s="77"/>
      <c r="P29" s="77"/>
      <c r="Q29" s="77"/>
      <c r="R29" s="77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3:31" hidden="1" outlineLevel="1" x14ac:dyDescent="0.25">
      <c r="C30" s="1" t="s">
        <v>3</v>
      </c>
      <c r="D30" s="1" t="s">
        <v>21</v>
      </c>
      <c r="E30" s="1" t="s">
        <v>22</v>
      </c>
      <c r="G30" s="2">
        <v>24</v>
      </c>
      <c r="H30" s="2">
        <f>G30+1</f>
        <v>25</v>
      </c>
      <c r="I30" s="2">
        <f>H30+1</f>
        <v>26</v>
      </c>
      <c r="J30" s="2">
        <f>I30+1</f>
        <v>27</v>
      </c>
      <c r="K30" s="2">
        <f>J30+1</f>
        <v>28</v>
      </c>
      <c r="L30" s="2">
        <f t="shared" ref="L30" si="37">K30+1</f>
        <v>29</v>
      </c>
      <c r="M30" s="2">
        <f t="shared" ref="M30" si="38">L30+1</f>
        <v>30</v>
      </c>
      <c r="N30" s="2">
        <f t="shared" ref="N30" si="39">M30+1</f>
        <v>31</v>
      </c>
      <c r="O30" s="2">
        <f t="shared" ref="O30" si="40">N30+1</f>
        <v>32</v>
      </c>
      <c r="P30" s="2">
        <f t="shared" ref="P30" si="41">O30+1</f>
        <v>33</v>
      </c>
      <c r="Q30" s="2">
        <f t="shared" ref="Q30" si="42">P30+1</f>
        <v>34</v>
      </c>
      <c r="R30" s="2">
        <f t="shared" ref="R30" si="43">Q30+1</f>
        <v>35</v>
      </c>
      <c r="S30" s="51"/>
      <c r="T30" s="66">
        <v>24</v>
      </c>
      <c r="U30" s="66">
        <f>T30+1</f>
        <v>25</v>
      </c>
      <c r="V30" s="66">
        <f>U30+1</f>
        <v>26</v>
      </c>
      <c r="W30" s="66">
        <f>V30+1</f>
        <v>27</v>
      </c>
      <c r="X30" s="66">
        <f>W30+1</f>
        <v>28</v>
      </c>
      <c r="Y30" s="66">
        <f t="shared" ref="Y30" si="44">X30+1</f>
        <v>29</v>
      </c>
      <c r="Z30" s="66">
        <f t="shared" ref="Z30" si="45">Y30+1</f>
        <v>30</v>
      </c>
      <c r="AA30" s="66">
        <f t="shared" ref="AA30" si="46">Z30+1</f>
        <v>31</v>
      </c>
      <c r="AB30" s="66">
        <f t="shared" ref="AB30" si="47">AA30+1</f>
        <v>32</v>
      </c>
      <c r="AC30" s="66">
        <f t="shared" ref="AC30" si="48">AB30+1</f>
        <v>33</v>
      </c>
      <c r="AD30" s="66">
        <f t="shared" ref="AD30" si="49">AC30+1</f>
        <v>34</v>
      </c>
      <c r="AE30" s="66">
        <f t="shared" ref="AE30" si="50">AD30+1</f>
        <v>35</v>
      </c>
    </row>
    <row r="31" spans="3:31" collapsed="1" x14ac:dyDescent="0.25">
      <c r="C31" s="53" t="s">
        <v>0</v>
      </c>
      <c r="D31" s="53"/>
      <c r="E31" s="53"/>
      <c r="G31" s="54">
        <v>76327769931.81308</v>
      </c>
      <c r="H31" s="54">
        <v>146398711250</v>
      </c>
      <c r="I31" s="54">
        <f>I11*I14</f>
        <v>229999923318</v>
      </c>
      <c r="J31" s="54">
        <f>J11*J14</f>
        <v>310000129114.38184</v>
      </c>
      <c r="K31" s="54">
        <f t="shared" ref="K31:R31" si="51">K11*K14</f>
        <v>399999782002.93481</v>
      </c>
      <c r="L31" s="54">
        <f t="shared" si="51"/>
        <v>500000001261.05011</v>
      </c>
      <c r="M31" s="54">
        <f t="shared" si="51"/>
        <v>609999823155.56287</v>
      </c>
      <c r="N31" s="54">
        <f t="shared" si="51"/>
        <v>720000131622.16235</v>
      </c>
      <c r="O31" s="54">
        <f t="shared" si="51"/>
        <v>830000214278.55286</v>
      </c>
      <c r="P31" s="54">
        <f t="shared" si="51"/>
        <v>944999884504.58337</v>
      </c>
      <c r="Q31" s="54">
        <f t="shared" si="51"/>
        <v>1060000378714.2125</v>
      </c>
      <c r="R31" s="54">
        <f t="shared" si="51"/>
        <v>1175000093686.5325</v>
      </c>
      <c r="T31" s="67"/>
      <c r="U31" s="67"/>
      <c r="V31" s="67"/>
      <c r="W31" s="67"/>
      <c r="X31" s="67"/>
      <c r="Y31" s="67"/>
      <c r="Z31" s="67"/>
      <c r="AA31" s="60"/>
      <c r="AB31" s="60"/>
      <c r="AC31" s="60"/>
      <c r="AD31" s="60"/>
      <c r="AE31" s="60"/>
    </row>
    <row r="32" spans="3:31" hidden="1" outlineLevel="1" x14ac:dyDescent="0.25">
      <c r="C32" s="12" t="s">
        <v>92</v>
      </c>
      <c r="D32" s="13"/>
      <c r="E32" s="13"/>
      <c r="G32" s="14">
        <v>73324444100</v>
      </c>
      <c r="H32" s="14">
        <v>141958599850</v>
      </c>
      <c r="I32" s="14">
        <f>H32/H$31*I$31</f>
        <v>223024279387.77805</v>
      </c>
      <c r="J32" s="14">
        <f>I32/I$31*J$31</f>
        <v>300598167201.39923</v>
      </c>
      <c r="K32" s="14">
        <f t="shared" ref="K32" si="52">J32/J$31*K$31</f>
        <v>387868229908.62811</v>
      </c>
      <c r="L32" s="14">
        <f t="shared" ref="L32" si="53">K32/K$31*L$31</f>
        <v>484835552840.40735</v>
      </c>
      <c r="M32" s="14">
        <f t="shared" ref="M32" si="54">L32/L$31*M$31</f>
        <v>591499201492.53577</v>
      </c>
      <c r="N32" s="14">
        <f t="shared" ref="N32" si="55">M32/M$31*N$31</f>
        <v>698163321959.5564</v>
      </c>
      <c r="O32" s="14">
        <f t="shared" ref="O32" si="56">N32/N$31*O$31</f>
        <v>804827223464.9425</v>
      </c>
      <c r="P32" s="14">
        <f t="shared" ref="P32" si="57">O32/O$31*P$31</f>
        <v>916339080564.70239</v>
      </c>
      <c r="Q32" s="14">
        <f t="shared" ref="Q32" si="58">P32/P$31*Q$31</f>
        <v>1027851736657.5475</v>
      </c>
      <c r="R32" s="14">
        <f t="shared" ref="R32" si="59">Q32/Q$31*R$31</f>
        <v>1139363637146.4912</v>
      </c>
      <c r="T32" s="16">
        <f t="shared" ref="T32:T44" si="60">G32/G$45</f>
        <v>1.0567530522339654</v>
      </c>
      <c r="U32" s="16">
        <f t="shared" ref="U32:U44" si="61">H32/H$45</f>
        <v>1.0696499517340843</v>
      </c>
      <c r="V32" s="16">
        <f t="shared" ref="V32:V44" si="62">I32/I$45</f>
        <v>1.0666382135587278</v>
      </c>
      <c r="W32" s="16">
        <f t="shared" ref="W32:W44" si="63">J32/J$45</f>
        <v>1.0666382135587276</v>
      </c>
      <c r="X32" s="16">
        <f t="shared" ref="X32:X44" si="64">K32/K$45</f>
        <v>1.0666382135587276</v>
      </c>
      <c r="Y32" s="16">
        <f t="shared" ref="Y32:Y44" si="65">L32/L$45</f>
        <v>1.0666382135587278</v>
      </c>
      <c r="Z32" s="16">
        <f t="shared" ref="Z32:Z44" si="66">M32/M$45</f>
        <v>1.0666382135587276</v>
      </c>
      <c r="AA32" s="61"/>
      <c r="AB32" s="61"/>
      <c r="AC32" s="61"/>
      <c r="AD32" s="61"/>
      <c r="AE32" s="61"/>
    </row>
    <row r="33" spans="3:31" hidden="1" outlineLevel="1" x14ac:dyDescent="0.25">
      <c r="C33" s="12" t="s">
        <v>93</v>
      </c>
      <c r="D33" s="13"/>
      <c r="E33" s="13"/>
      <c r="G33" s="14">
        <v>68915966950</v>
      </c>
      <c r="H33" s="14">
        <v>131557225500</v>
      </c>
      <c r="I33" s="14">
        <f>I$31*I$26*(H$33/(H$33+H$36))</f>
        <v>207459958076.87076</v>
      </c>
      <c r="J33" s="14">
        <f>J$31*J$26*(I$33/(I$33+I$36))</f>
        <v>281123487338.31006</v>
      </c>
      <c r="K33" s="14">
        <f t="shared" ref="K33:R33" si="67">K$31*K$26*(J$33/(J$33+J$36))</f>
        <v>363903505377.65375</v>
      </c>
      <c r="L33" s="14">
        <f t="shared" si="67"/>
        <v>455849523378.31244</v>
      </c>
      <c r="M33" s="14">
        <f t="shared" si="67"/>
        <v>559094427463.88794</v>
      </c>
      <c r="N33" s="14">
        <f t="shared" si="67"/>
        <v>658518400409.03284</v>
      </c>
      <c r="O33" s="14">
        <f t="shared" si="67"/>
        <v>759125435455.74426</v>
      </c>
      <c r="P33" s="14">
        <f t="shared" si="67"/>
        <v>864305136901.34448</v>
      </c>
      <c r="Q33" s="14">
        <f t="shared" si="67"/>
        <v>969485591969.53088</v>
      </c>
      <c r="R33" s="14">
        <f t="shared" si="67"/>
        <v>1074665334340.4779</v>
      </c>
      <c r="T33" s="16">
        <f t="shared" si="60"/>
        <v>0.99321800957325757</v>
      </c>
      <c r="U33" s="16">
        <f t="shared" si="61"/>
        <v>0.99127618936109874</v>
      </c>
      <c r="V33" s="16">
        <f t="shared" si="62"/>
        <v>0.99220013029760112</v>
      </c>
      <c r="W33" s="16">
        <f t="shared" si="63"/>
        <v>0.99753453960027616</v>
      </c>
      <c r="X33" s="16">
        <f t="shared" si="64"/>
        <v>1.0007351851818813</v>
      </c>
      <c r="Y33" s="16">
        <f t="shared" si="65"/>
        <v>1.0028689489029514</v>
      </c>
      <c r="Z33" s="16">
        <f t="shared" si="66"/>
        <v>1.0082033582056265</v>
      </c>
      <c r="AA33" s="61"/>
      <c r="AB33" s="61"/>
      <c r="AC33" s="61"/>
      <c r="AD33" s="61"/>
      <c r="AE33" s="61"/>
    </row>
    <row r="34" spans="3:31" hidden="1" outlineLevel="1" x14ac:dyDescent="0.25">
      <c r="C34" s="12" t="s">
        <v>94</v>
      </c>
      <c r="D34" s="13"/>
      <c r="E34" s="13"/>
      <c r="G34" s="14">
        <v>4408477150</v>
      </c>
      <c r="H34" s="14">
        <v>10401374350</v>
      </c>
      <c r="I34" s="14">
        <f>I32-I33</f>
        <v>15564321310.907288</v>
      </c>
      <c r="J34" s="14">
        <f>J32-J33</f>
        <v>19474679863.089172</v>
      </c>
      <c r="K34" s="14">
        <f t="shared" ref="K34:R34" si="68">K32-K33</f>
        <v>23964724530.974365</v>
      </c>
      <c r="L34" s="14">
        <f t="shared" si="68"/>
        <v>28986029462.09491</v>
      </c>
      <c r="M34" s="14">
        <f t="shared" si="68"/>
        <v>32404774028.647827</v>
      </c>
      <c r="N34" s="14">
        <f t="shared" si="68"/>
        <v>39644921550.52356</v>
      </c>
      <c r="O34" s="14">
        <f t="shared" si="68"/>
        <v>45701788009.198242</v>
      </c>
      <c r="P34" s="14">
        <f t="shared" si="68"/>
        <v>52033943663.35791</v>
      </c>
      <c r="Q34" s="14">
        <f t="shared" si="68"/>
        <v>58366144688.016602</v>
      </c>
      <c r="R34" s="14">
        <f t="shared" si="68"/>
        <v>64698302806.013306</v>
      </c>
      <c r="T34" s="16">
        <f t="shared" si="60"/>
        <v>6.3535042660707919E-2</v>
      </c>
      <c r="U34" s="16">
        <f t="shared" si="61"/>
        <v>7.8373762372985545E-2</v>
      </c>
      <c r="V34" s="16">
        <f t="shared" si="62"/>
        <v>7.4438083261126609E-2</v>
      </c>
      <c r="W34" s="16">
        <f t="shared" si="63"/>
        <v>6.9103673958451434E-2</v>
      </c>
      <c r="X34" s="16">
        <f t="shared" si="64"/>
        <v>6.5903028376846431E-2</v>
      </c>
      <c r="Y34" s="16">
        <f t="shared" si="65"/>
        <v>6.3769264655776328E-2</v>
      </c>
      <c r="Z34" s="16">
        <f t="shared" si="66"/>
        <v>5.8434855353101167E-2</v>
      </c>
      <c r="AA34" s="61"/>
      <c r="AB34" s="61"/>
      <c r="AC34" s="61"/>
      <c r="AD34" s="61"/>
      <c r="AE34" s="61"/>
    </row>
    <row r="35" spans="3:31" hidden="1" outlineLevel="1" x14ac:dyDescent="0.25">
      <c r="C35" s="12" t="s">
        <v>95</v>
      </c>
      <c r="D35" s="13"/>
      <c r="E35" s="13"/>
      <c r="G35" s="14">
        <v>3320680831.8130841</v>
      </c>
      <c r="H35" s="14">
        <v>4440111400</v>
      </c>
      <c r="I35" s="14">
        <f>H35/H$31*I$31</f>
        <v>6975643930.2219448</v>
      </c>
      <c r="J35" s="14">
        <f>I35/I$31*J$31</f>
        <v>9401961912.9826088</v>
      </c>
      <c r="K35" s="14">
        <f t="shared" ref="K35" si="69">J35/J$31*K$31</f>
        <v>12131552094.306744</v>
      </c>
      <c r="L35" s="14">
        <f t="shared" ref="L35" si="70">K35/K$31*L$31</f>
        <v>15164448420.642794</v>
      </c>
      <c r="M35" s="14">
        <f t="shared" ref="M35" si="71">L35/L$31*M$31</f>
        <v>18500621663.027096</v>
      </c>
      <c r="N35" s="14">
        <f t="shared" ref="N35" si="72">M35/M$31*N$31</f>
        <v>21836809662.605984</v>
      </c>
      <c r="O35" s="14">
        <f t="shared" ref="O35" si="73">N35/N$31*O$31</f>
        <v>25172990813.610355</v>
      </c>
      <c r="P35" s="14">
        <f t="shared" ref="P35" si="74">O35/O$31*P$31</f>
        <v>28660803939.880882</v>
      </c>
      <c r="Q35" s="14">
        <f t="shared" ref="Q35" si="75">P35/P$31*Q$31</f>
        <v>32148642056.664909</v>
      </c>
      <c r="R35" s="14">
        <f t="shared" ref="R35" si="76">Q35/Q$31*R$31</f>
        <v>35636456540.041031</v>
      </c>
      <c r="T35" s="16">
        <f t="shared" si="60"/>
        <v>4.7857704856616841E-2</v>
      </c>
      <c r="U35" s="16">
        <f t="shared" si="61"/>
        <v>3.3455986109487947E-2</v>
      </c>
      <c r="V35" s="16">
        <f t="shared" si="62"/>
        <v>3.3361786441272384E-2</v>
      </c>
      <c r="W35" s="16">
        <f t="shared" si="63"/>
        <v>3.3361786441272377E-2</v>
      </c>
      <c r="X35" s="16">
        <f t="shared" si="64"/>
        <v>3.3361786441272377E-2</v>
      </c>
      <c r="Y35" s="16">
        <f t="shared" si="65"/>
        <v>3.3361786441272377E-2</v>
      </c>
      <c r="Z35" s="16">
        <f t="shared" si="66"/>
        <v>3.3361786441272377E-2</v>
      </c>
      <c r="AA35" s="61"/>
      <c r="AB35" s="61"/>
      <c r="AC35" s="61"/>
      <c r="AD35" s="61"/>
      <c r="AE35" s="61"/>
    </row>
    <row r="36" spans="3:31" hidden="1" outlineLevel="1" x14ac:dyDescent="0.25">
      <c r="C36" s="12" t="s">
        <v>93</v>
      </c>
      <c r="D36" s="13"/>
      <c r="E36" s="13"/>
      <c r="G36" s="14">
        <v>2863913500</v>
      </c>
      <c r="H36" s="14">
        <v>4083798500</v>
      </c>
      <c r="I36" s="14">
        <f>I$31*I$26*(H$36/(H$33+H$36))</f>
        <v>6439970608.869276</v>
      </c>
      <c r="J36" s="14">
        <f>J$31*J$26*(I$36/(I$33+I$36))</f>
        <v>8726633383.6369896</v>
      </c>
      <c r="K36" s="14">
        <f t="shared" ref="K36:R36" si="77">K$31*K$26*(J$36/(J$33+J$36))</f>
        <v>11296290141.099121</v>
      </c>
      <c r="L36" s="14">
        <f t="shared" si="77"/>
        <v>14150477807.074661</v>
      </c>
      <c r="M36" s="14">
        <f t="shared" si="77"/>
        <v>17355405418.118855</v>
      </c>
      <c r="N36" s="14">
        <f t="shared" si="77"/>
        <v>20441723710.66618</v>
      </c>
      <c r="O36" s="14">
        <f t="shared" si="77"/>
        <v>23564766608.931068</v>
      </c>
      <c r="P36" s="14">
        <f t="shared" si="77"/>
        <v>26829754186.477615</v>
      </c>
      <c r="Q36" s="14">
        <f t="shared" si="77"/>
        <v>30094765157.971363</v>
      </c>
      <c r="R36" s="14">
        <f t="shared" si="77"/>
        <v>33359754005.922249</v>
      </c>
      <c r="T36" s="16">
        <f t="shared" si="60"/>
        <v>4.1274766820346871E-2</v>
      </c>
      <c r="U36" s="16">
        <f t="shared" si="61"/>
        <v>3.077118873412674E-2</v>
      </c>
      <c r="V36" s="16">
        <f t="shared" si="62"/>
        <v>3.0799869702399188E-2</v>
      </c>
      <c r="W36" s="16">
        <f t="shared" si="63"/>
        <v>3.0965460399723907E-2</v>
      </c>
      <c r="X36" s="16">
        <f t="shared" si="64"/>
        <v>3.1064814818118732E-2</v>
      </c>
      <c r="Y36" s="16">
        <f t="shared" si="65"/>
        <v>3.1131051097048626E-2</v>
      </c>
      <c r="Z36" s="16">
        <f t="shared" si="66"/>
        <v>3.1296641794373345E-2</v>
      </c>
      <c r="AA36" s="61"/>
      <c r="AB36" s="61"/>
      <c r="AC36" s="61"/>
      <c r="AD36" s="61"/>
      <c r="AE36" s="61"/>
    </row>
    <row r="37" spans="3:31" hidden="1" outlineLevel="1" x14ac:dyDescent="0.25">
      <c r="C37" s="12" t="s">
        <v>94</v>
      </c>
      <c r="D37" s="13"/>
      <c r="E37" s="13"/>
      <c r="G37" s="14">
        <v>456767331.81308407</v>
      </c>
      <c r="H37" s="14">
        <v>356312900</v>
      </c>
      <c r="I37" s="14">
        <f>I35-I36</f>
        <v>535673321.35266876</v>
      </c>
      <c r="J37" s="14">
        <f>J35-J36</f>
        <v>675328529.3456192</v>
      </c>
      <c r="K37" s="14">
        <f t="shared" ref="K37:R37" si="78">K35-K36</f>
        <v>835261953.20762253</v>
      </c>
      <c r="L37" s="14">
        <f t="shared" si="78"/>
        <v>1013970613.5681324</v>
      </c>
      <c r="M37" s="14">
        <f t="shared" si="78"/>
        <v>1145216244.9082413</v>
      </c>
      <c r="N37" s="14">
        <f t="shared" si="78"/>
        <v>1395085951.9398041</v>
      </c>
      <c r="O37" s="14">
        <f t="shared" si="78"/>
        <v>1608224204.679287</v>
      </c>
      <c r="P37" s="14">
        <f t="shared" si="78"/>
        <v>1831049753.4032669</v>
      </c>
      <c r="Q37" s="14">
        <f t="shared" si="78"/>
        <v>2053876898.6935463</v>
      </c>
      <c r="R37" s="14">
        <f t="shared" si="78"/>
        <v>2276702534.118782</v>
      </c>
      <c r="T37" s="16">
        <f t="shared" si="60"/>
        <v>6.5829380362699688E-3</v>
      </c>
      <c r="U37" s="16">
        <f t="shared" si="61"/>
        <v>2.6847973753612053E-3</v>
      </c>
      <c r="V37" s="16">
        <f t="shared" si="62"/>
        <v>2.5619167388731962E-3</v>
      </c>
      <c r="W37" s="16">
        <f t="shared" si="63"/>
        <v>2.3963260415484698E-3</v>
      </c>
      <c r="X37" s="16">
        <f t="shared" si="64"/>
        <v>2.2969716231536434E-3</v>
      </c>
      <c r="Y37" s="16">
        <f t="shared" si="65"/>
        <v>2.2307353442237534E-3</v>
      </c>
      <c r="Z37" s="16">
        <f t="shared" si="66"/>
        <v>2.0651446468990297E-3</v>
      </c>
      <c r="AA37" s="61"/>
      <c r="AB37" s="61"/>
      <c r="AC37" s="61"/>
      <c r="AD37" s="61"/>
      <c r="AE37" s="61"/>
    </row>
    <row r="38" spans="3:31" hidden="1" outlineLevel="1" x14ac:dyDescent="0.25">
      <c r="C38" s="13" t="s">
        <v>1</v>
      </c>
      <c r="D38" s="13"/>
      <c r="E38" s="13"/>
      <c r="G38" s="17">
        <v>69325159686.284622</v>
      </c>
      <c r="H38" s="17">
        <v>133127412798</v>
      </c>
      <c r="I38" s="17">
        <f t="shared" ref="I38" si="79">I39+I42</f>
        <v>209090839379.99997</v>
      </c>
      <c r="J38" s="17">
        <f t="shared" ref="J38" si="80">J39+J42</f>
        <v>281818299194.89258</v>
      </c>
      <c r="K38" s="17">
        <f t="shared" ref="K38:R38" si="81">K39+K42</f>
        <v>363636165457.2135</v>
      </c>
      <c r="L38" s="17">
        <f t="shared" si="81"/>
        <v>454545455691.86371</v>
      </c>
      <c r="M38" s="17">
        <f t="shared" si="81"/>
        <v>554545293777.78442</v>
      </c>
      <c r="N38" s="17">
        <f t="shared" si="81"/>
        <v>654545574201.9657</v>
      </c>
      <c r="O38" s="17">
        <f t="shared" si="81"/>
        <v>754545649344.13892</v>
      </c>
      <c r="P38" s="17">
        <f t="shared" si="81"/>
        <v>859090804095.07568</v>
      </c>
      <c r="Q38" s="17">
        <f t="shared" si="81"/>
        <v>963636707922.01123</v>
      </c>
      <c r="R38" s="17">
        <f t="shared" si="81"/>
        <v>1068181903351.3928</v>
      </c>
      <c r="T38" s="19">
        <f t="shared" si="60"/>
        <v>0.99911530178362895</v>
      </c>
      <c r="U38" s="19">
        <f t="shared" si="61"/>
        <v>1.0031074610790072</v>
      </c>
      <c r="V38" s="19">
        <f t="shared" si="62"/>
        <v>1</v>
      </c>
      <c r="W38" s="19">
        <f t="shared" si="63"/>
        <v>1</v>
      </c>
      <c r="X38" s="19">
        <f t="shared" si="64"/>
        <v>1</v>
      </c>
      <c r="Y38" s="19">
        <f t="shared" si="65"/>
        <v>1</v>
      </c>
      <c r="Z38" s="19">
        <f t="shared" si="66"/>
        <v>1</v>
      </c>
      <c r="AA38" s="60"/>
      <c r="AB38" s="60"/>
      <c r="AC38" s="60"/>
      <c r="AD38" s="60"/>
      <c r="AE38" s="60"/>
    </row>
    <row r="39" spans="3:31" hidden="1" outlineLevel="1" x14ac:dyDescent="0.25">
      <c r="C39" s="12" t="s">
        <v>92</v>
      </c>
      <c r="D39" s="13"/>
      <c r="E39" s="13"/>
      <c r="G39" s="14">
        <v>66582170332</v>
      </c>
      <c r="H39" s="14">
        <v>129090954643</v>
      </c>
      <c r="I39" s="14">
        <f t="shared" ref="I39" si="82">I40+I41</f>
        <v>202749344897.98001</v>
      </c>
      <c r="J39" s="14">
        <f t="shared" ref="J39" si="83">J40+J41</f>
        <v>273271061092.18109</v>
      </c>
      <c r="K39" s="14">
        <f t="shared" ref="K39:R39" si="84">K40+K41</f>
        <v>352607481735.11646</v>
      </c>
      <c r="L39" s="14">
        <f t="shared" si="84"/>
        <v>440759593491.27936</v>
      </c>
      <c r="M39" s="14">
        <f t="shared" si="84"/>
        <v>537726546811.39612</v>
      </c>
      <c r="N39" s="14">
        <f t="shared" si="84"/>
        <v>634693929054.14209</v>
      </c>
      <c r="O39" s="14">
        <f t="shared" si="84"/>
        <v>731661112240.85681</v>
      </c>
      <c r="P39" s="14">
        <f t="shared" si="84"/>
        <v>833035527786.09302</v>
      </c>
      <c r="Q39" s="14">
        <f t="shared" si="84"/>
        <v>934410669688.67944</v>
      </c>
      <c r="R39" s="14">
        <f t="shared" si="84"/>
        <v>1035785124678.6283</v>
      </c>
      <c r="T39" s="16">
        <f t="shared" si="60"/>
        <v>0.95958329567073775</v>
      </c>
      <c r="U39" s="16">
        <f t="shared" si="61"/>
        <v>0.97269297914388952</v>
      </c>
      <c r="V39" s="16">
        <f t="shared" si="62"/>
        <v>0.96967110323520689</v>
      </c>
      <c r="W39" s="16">
        <f t="shared" si="63"/>
        <v>0.96967110323520689</v>
      </c>
      <c r="X39" s="16">
        <f t="shared" si="64"/>
        <v>0.96967110323520689</v>
      </c>
      <c r="Y39" s="16">
        <f t="shared" si="65"/>
        <v>0.969671103235207</v>
      </c>
      <c r="Z39" s="16">
        <f t="shared" si="66"/>
        <v>0.96967110323520689</v>
      </c>
      <c r="AA39" s="61"/>
      <c r="AB39" s="61"/>
      <c r="AC39" s="61"/>
      <c r="AD39" s="61"/>
      <c r="AE39" s="61"/>
    </row>
    <row r="40" spans="3:31" hidden="1" outlineLevel="1" x14ac:dyDescent="0.25">
      <c r="C40" s="12" t="s">
        <v>93</v>
      </c>
      <c r="D40" s="13"/>
      <c r="E40" s="13"/>
      <c r="G40" s="14">
        <v>62575394483</v>
      </c>
      <c r="H40" s="14">
        <v>119633293813</v>
      </c>
      <c r="I40" s="14">
        <f t="shared" ref="I40" si="85">I33/1.1</f>
        <v>188599961888.0643</v>
      </c>
      <c r="J40" s="14">
        <f t="shared" ref="J40" si="86">J33/1.1</f>
        <v>255566806671.19095</v>
      </c>
      <c r="K40" s="14">
        <f t="shared" ref="K40:R40" si="87">K33/1.1</f>
        <v>330821368525.13977</v>
      </c>
      <c r="L40" s="14">
        <f t="shared" si="87"/>
        <v>414408657616.64764</v>
      </c>
      <c r="M40" s="14">
        <f t="shared" si="87"/>
        <v>508267661330.80719</v>
      </c>
      <c r="N40" s="14">
        <f t="shared" si="87"/>
        <v>598653091280.93884</v>
      </c>
      <c r="O40" s="14">
        <f t="shared" si="87"/>
        <v>690114032232.49475</v>
      </c>
      <c r="P40" s="14">
        <f t="shared" si="87"/>
        <v>785731942637.58582</v>
      </c>
      <c r="Q40" s="14">
        <f t="shared" si="87"/>
        <v>881350538154.1189</v>
      </c>
      <c r="R40" s="14">
        <f t="shared" si="87"/>
        <v>976968485764.0708</v>
      </c>
      <c r="T40" s="16">
        <f t="shared" si="60"/>
        <v>0.90183757853616919</v>
      </c>
      <c r="U40" s="16">
        <f t="shared" si="61"/>
        <v>0.90143004430925266</v>
      </c>
      <c r="V40" s="16">
        <f t="shared" si="62"/>
        <v>0.9020001184523645</v>
      </c>
      <c r="W40" s="16">
        <f t="shared" si="63"/>
        <v>0.90684958145479655</v>
      </c>
      <c r="X40" s="16">
        <f t="shared" si="64"/>
        <v>0.90975925925625567</v>
      </c>
      <c r="Y40" s="16">
        <f t="shared" si="65"/>
        <v>0.91169904445722849</v>
      </c>
      <c r="Z40" s="16">
        <f t="shared" si="66"/>
        <v>0.91654850745966032</v>
      </c>
      <c r="AA40" s="61"/>
      <c r="AB40" s="61"/>
      <c r="AC40" s="61"/>
      <c r="AD40" s="61"/>
      <c r="AE40" s="61"/>
    </row>
    <row r="41" spans="3:31" hidden="1" outlineLevel="1" x14ac:dyDescent="0.25">
      <c r="C41" s="12" t="s">
        <v>94</v>
      </c>
      <c r="D41" s="13"/>
      <c r="E41" s="13"/>
      <c r="G41" s="14">
        <v>4006775849</v>
      </c>
      <c r="H41" s="14">
        <v>9457660830</v>
      </c>
      <c r="I41" s="14">
        <f t="shared" ref="I41" si="88">I34/1.1</f>
        <v>14149383009.915714</v>
      </c>
      <c r="J41" s="14">
        <f t="shared" ref="J41" si="89">J34/1.1</f>
        <v>17704254420.990154</v>
      </c>
      <c r="K41" s="14">
        <f t="shared" ref="K41:R41" si="90">K34/1.1</f>
        <v>21786113209.976692</v>
      </c>
      <c r="L41" s="14">
        <f t="shared" si="90"/>
        <v>26350935874.631733</v>
      </c>
      <c r="M41" s="14">
        <f t="shared" si="90"/>
        <v>29458885480.588932</v>
      </c>
      <c r="N41" s="14">
        <f t="shared" si="90"/>
        <v>36040837773.203232</v>
      </c>
      <c r="O41" s="14">
        <f t="shared" si="90"/>
        <v>41547080008.362038</v>
      </c>
      <c r="P41" s="14">
        <f t="shared" si="90"/>
        <v>47303585148.507187</v>
      </c>
      <c r="Q41" s="14">
        <f t="shared" si="90"/>
        <v>53060131534.560539</v>
      </c>
      <c r="R41" s="14">
        <f t="shared" si="90"/>
        <v>58816638914.557549</v>
      </c>
      <c r="T41" s="16">
        <f t="shared" si="60"/>
        <v>5.7745717134568615E-2</v>
      </c>
      <c r="U41" s="16">
        <f t="shared" si="61"/>
        <v>7.126293483463686E-2</v>
      </c>
      <c r="V41" s="16">
        <f t="shared" si="62"/>
        <v>6.7670984782842364E-2</v>
      </c>
      <c r="W41" s="16">
        <f t="shared" si="63"/>
        <v>6.282152178041038E-2</v>
      </c>
      <c r="X41" s="16">
        <f t="shared" si="64"/>
        <v>5.9911843978951294E-2</v>
      </c>
      <c r="Y41" s="16">
        <f t="shared" si="65"/>
        <v>5.7972058777978473E-2</v>
      </c>
      <c r="Z41" s="16">
        <f t="shared" si="66"/>
        <v>5.3122595775546518E-2</v>
      </c>
      <c r="AA41" s="61"/>
      <c r="AB41" s="61"/>
      <c r="AC41" s="61"/>
      <c r="AD41" s="61"/>
      <c r="AE41" s="61"/>
    </row>
    <row r="42" spans="3:31" hidden="1" outlineLevel="1" x14ac:dyDescent="0.25">
      <c r="C42" s="12" t="s">
        <v>95</v>
      </c>
      <c r="D42" s="13"/>
      <c r="E42" s="13"/>
      <c r="G42" s="14">
        <v>2742989354.2846217</v>
      </c>
      <c r="H42" s="14">
        <v>4036458155</v>
      </c>
      <c r="I42" s="14">
        <f t="shared" ref="I42:J42" si="91">I43+I44</f>
        <v>6341494482.019949</v>
      </c>
      <c r="J42" s="14">
        <f t="shared" si="91"/>
        <v>8547238102.711462</v>
      </c>
      <c r="K42" s="14">
        <f t="shared" ref="K42:R42" si="92">K43+K44</f>
        <v>11028683722.097038</v>
      </c>
      <c r="L42" s="14">
        <f t="shared" si="92"/>
        <v>13785862200.584358</v>
      </c>
      <c r="M42" s="14">
        <f t="shared" si="92"/>
        <v>16818746966.388268</v>
      </c>
      <c r="N42" s="14">
        <f t="shared" si="92"/>
        <v>19851645147.82362</v>
      </c>
      <c r="O42" s="14">
        <f t="shared" si="92"/>
        <v>22884537103.282143</v>
      </c>
      <c r="P42" s="14">
        <f t="shared" si="92"/>
        <v>26055276308.982616</v>
      </c>
      <c r="Q42" s="14">
        <f t="shared" si="92"/>
        <v>29226038233.331734</v>
      </c>
      <c r="R42" s="14">
        <f t="shared" si="92"/>
        <v>32396778672.764568</v>
      </c>
      <c r="T42" s="16">
        <f t="shared" si="60"/>
        <v>3.9532006112891184E-2</v>
      </c>
      <c r="U42" s="16">
        <f t="shared" si="61"/>
        <v>3.0414481935117515E-2</v>
      </c>
      <c r="V42" s="16">
        <f t="shared" si="62"/>
        <v>3.0328896764793074E-2</v>
      </c>
      <c r="W42" s="16">
        <f t="shared" si="63"/>
        <v>3.0328896764793067E-2</v>
      </c>
      <c r="X42" s="16">
        <f t="shared" si="64"/>
        <v>3.0328896764793067E-2</v>
      </c>
      <c r="Y42" s="16">
        <f t="shared" si="65"/>
        <v>3.0328896764793074E-2</v>
      </c>
      <c r="Z42" s="16">
        <f t="shared" si="66"/>
        <v>3.0328896764793067E-2</v>
      </c>
      <c r="AA42" s="61"/>
      <c r="AB42" s="61"/>
      <c r="AC42" s="61"/>
      <c r="AD42" s="61"/>
      <c r="AE42" s="61"/>
    </row>
    <row r="43" spans="3:31" hidden="1" outlineLevel="1" x14ac:dyDescent="0.25">
      <c r="C43" s="12" t="s">
        <v>93</v>
      </c>
      <c r="D43" s="13"/>
      <c r="E43" s="13"/>
      <c r="G43" s="14">
        <v>2616231185</v>
      </c>
      <c r="H43" s="14">
        <v>3712527528</v>
      </c>
      <c r="I43" s="14">
        <f t="shared" ref="I43" si="93">I36/1.1</f>
        <v>5854518735.3357048</v>
      </c>
      <c r="J43" s="14">
        <f t="shared" ref="J43" si="94">J36/1.1</f>
        <v>7933303076.0336266</v>
      </c>
      <c r="K43" s="14">
        <f t="shared" ref="K43:R43" si="95">K36/1.1</f>
        <v>10269354673.726473</v>
      </c>
      <c r="L43" s="14">
        <f t="shared" si="95"/>
        <v>12864070733.704237</v>
      </c>
      <c r="M43" s="14">
        <f t="shared" si="95"/>
        <v>15777641289.198957</v>
      </c>
      <c r="N43" s="14">
        <f t="shared" si="95"/>
        <v>18583385191.514706</v>
      </c>
      <c r="O43" s="14">
        <f t="shared" si="95"/>
        <v>21422515099.028244</v>
      </c>
      <c r="P43" s="14">
        <f t="shared" si="95"/>
        <v>24390685624.070557</v>
      </c>
      <c r="Q43" s="14">
        <f t="shared" si="95"/>
        <v>27358877416.337601</v>
      </c>
      <c r="R43" s="14">
        <f t="shared" si="95"/>
        <v>30327049096.29295</v>
      </c>
      <c r="T43" s="16">
        <f t="shared" si="60"/>
        <v>3.7705165365153233E-2</v>
      </c>
      <c r="U43" s="16">
        <f t="shared" si="61"/>
        <v>2.7973683139540059E-2</v>
      </c>
      <c r="V43" s="16">
        <f t="shared" si="62"/>
        <v>2.7999881547635622E-2</v>
      </c>
      <c r="W43" s="16">
        <f t="shared" si="63"/>
        <v>2.8150418545203549E-2</v>
      </c>
      <c r="X43" s="16">
        <f t="shared" si="64"/>
        <v>2.8240740743744299E-2</v>
      </c>
      <c r="Y43" s="16">
        <f t="shared" si="65"/>
        <v>2.8300955542771476E-2</v>
      </c>
      <c r="Z43" s="16">
        <f t="shared" si="66"/>
        <v>2.8451492540339404E-2</v>
      </c>
      <c r="AA43" s="61"/>
      <c r="AB43" s="61"/>
      <c r="AC43" s="61"/>
      <c r="AD43" s="61"/>
      <c r="AE43" s="61"/>
    </row>
    <row r="44" spans="3:31" hidden="1" outlineLevel="1" x14ac:dyDescent="0.25">
      <c r="C44" s="12" t="s">
        <v>94</v>
      </c>
      <c r="D44" s="13"/>
      <c r="E44" s="13"/>
      <c r="G44" s="14">
        <v>126758169.28462186</v>
      </c>
      <c r="H44" s="14">
        <v>323930627</v>
      </c>
      <c r="I44" s="14">
        <f t="shared" ref="I44" si="96">I37/1.1</f>
        <v>486975746.68424428</v>
      </c>
      <c r="J44" s="14">
        <f t="shared" ref="J44" si="97">J37/1.1</f>
        <v>613935026.67783558</v>
      </c>
      <c r="K44" s="14">
        <f t="shared" ref="K44:R44" si="98">K37/1.1</f>
        <v>759329048.37056589</v>
      </c>
      <c r="L44" s="14">
        <f t="shared" si="98"/>
        <v>921791466.88012028</v>
      </c>
      <c r="M44" s="14">
        <f t="shared" si="98"/>
        <v>1041105677.1893102</v>
      </c>
      <c r="N44" s="14">
        <f t="shared" si="98"/>
        <v>1268259956.3089128</v>
      </c>
      <c r="O44" s="14">
        <f t="shared" si="98"/>
        <v>1462022004.2538972</v>
      </c>
      <c r="P44" s="14">
        <f t="shared" si="98"/>
        <v>1664590684.9120607</v>
      </c>
      <c r="Q44" s="14">
        <f t="shared" si="98"/>
        <v>1867160816.9941328</v>
      </c>
      <c r="R44" s="14">
        <f t="shared" si="98"/>
        <v>2069729576.4716198</v>
      </c>
      <c r="T44" s="16">
        <f t="shared" si="60"/>
        <v>1.8268407477379546E-3</v>
      </c>
      <c r="U44" s="16">
        <f t="shared" si="61"/>
        <v>2.4407987955774534E-3</v>
      </c>
      <c r="V44" s="16">
        <f t="shared" si="62"/>
        <v>2.3290152171574507E-3</v>
      </c>
      <c r="W44" s="16">
        <f t="shared" si="63"/>
        <v>2.1784782195895178E-3</v>
      </c>
      <c r="X44" s="16">
        <f t="shared" si="64"/>
        <v>2.0881560210487668E-3</v>
      </c>
      <c r="Y44" s="16">
        <f t="shared" si="65"/>
        <v>2.0279412220215939E-3</v>
      </c>
      <c r="Z44" s="16">
        <f t="shared" si="66"/>
        <v>1.8774042244536632E-3</v>
      </c>
      <c r="AA44" s="61"/>
      <c r="AB44" s="61"/>
      <c r="AC44" s="61"/>
      <c r="AD44" s="61"/>
      <c r="AE44" s="61"/>
    </row>
    <row r="45" spans="3:31" collapsed="1" x14ac:dyDescent="0.25">
      <c r="C45" s="13" t="s">
        <v>2</v>
      </c>
      <c r="D45" s="13"/>
      <c r="E45" s="13"/>
      <c r="G45" s="17">
        <v>69386545839.629089</v>
      </c>
      <c r="H45" s="17">
        <v>132715006082</v>
      </c>
      <c r="I45" s="17">
        <f>I38</f>
        <v>209090839379.99997</v>
      </c>
      <c r="J45" s="17">
        <f t="shared" ref="J45:M45" si="99">J38</f>
        <v>281818299194.89258</v>
      </c>
      <c r="K45" s="17">
        <f t="shared" si="99"/>
        <v>363636165457.2135</v>
      </c>
      <c r="L45" s="17">
        <f t="shared" si="99"/>
        <v>454545455691.86371</v>
      </c>
      <c r="M45" s="17">
        <f t="shared" si="99"/>
        <v>554545293777.78442</v>
      </c>
      <c r="N45" s="17">
        <f t="shared" ref="N45:R45" si="100">N38</f>
        <v>654545574201.9657</v>
      </c>
      <c r="O45" s="17">
        <f t="shared" si="100"/>
        <v>754545649344.13892</v>
      </c>
      <c r="P45" s="17">
        <f t="shared" si="100"/>
        <v>859090804095.07568</v>
      </c>
      <c r="Q45" s="17">
        <f t="shared" si="100"/>
        <v>963636707922.01123</v>
      </c>
      <c r="R45" s="17">
        <f t="shared" si="100"/>
        <v>1068181903351.3928</v>
      </c>
      <c r="T45" s="19">
        <f>IFERROR(G45/G$45,0)</f>
        <v>1</v>
      </c>
      <c r="U45" s="19">
        <f t="shared" ref="U45:U92" si="101">IFERROR(H45/H$45,0)</f>
        <v>1</v>
      </c>
      <c r="V45" s="19">
        <f t="shared" ref="V45:V92" si="102">IFERROR(I45/I$45,0)</f>
        <v>1</v>
      </c>
      <c r="W45" s="19">
        <f t="shared" ref="W45:W92" si="103">IFERROR(J45/J$45,0)</f>
        <v>1</v>
      </c>
      <c r="X45" s="19">
        <f t="shared" ref="X45:X92" si="104">IFERROR(K45/K$45,0)</f>
        <v>1</v>
      </c>
      <c r="Y45" s="19">
        <f t="shared" ref="Y45:Y92" si="105">IFERROR(L45/L$45,0)</f>
        <v>1</v>
      </c>
      <c r="Z45" s="19">
        <f t="shared" ref="Z45:Z92" si="106">IFERROR(M45/M$45,0)</f>
        <v>1</v>
      </c>
      <c r="AA45" s="19">
        <f t="shared" ref="AA45:AA92" si="107">IFERROR(N45/N$45,0)</f>
        <v>1</v>
      </c>
      <c r="AB45" s="19">
        <f t="shared" ref="AB45:AB92" si="108">IFERROR(O45/O$45,0)</f>
        <v>1</v>
      </c>
      <c r="AC45" s="19">
        <f t="shared" ref="AC45:AC92" si="109">IFERROR(P45/P$45,0)</f>
        <v>1</v>
      </c>
      <c r="AD45" s="19">
        <f t="shared" ref="AD45:AD92" si="110">IFERROR(Q45/Q$45,0)</f>
        <v>1</v>
      </c>
      <c r="AE45" s="19">
        <f t="shared" ref="AE45:AE92" si="111">IFERROR(R45/R$45,0)</f>
        <v>1</v>
      </c>
    </row>
    <row r="46" spans="3:31" x14ac:dyDescent="0.25">
      <c r="C46" s="18" t="s">
        <v>4</v>
      </c>
      <c r="D46" s="20">
        <v>0.59399999999999997</v>
      </c>
      <c r="E46" s="20"/>
      <c r="G46" s="21">
        <v>39156113021.584</v>
      </c>
      <c r="H46" s="21">
        <v>76081224167</v>
      </c>
      <c r="I46" s="21">
        <f>$D46*I$39</f>
        <v>120433110869.40012</v>
      </c>
      <c r="J46" s="21">
        <f t="shared" ref="J46:R46" si="112">$D46*J$39</f>
        <v>162323010288.75555</v>
      </c>
      <c r="K46" s="21">
        <f t="shared" si="112"/>
        <v>209448844150.65918</v>
      </c>
      <c r="L46" s="21">
        <f t="shared" si="112"/>
        <v>261811198533.81992</v>
      </c>
      <c r="M46" s="21">
        <f t="shared" si="112"/>
        <v>319409568805.9693</v>
      </c>
      <c r="N46" s="21">
        <f t="shared" si="112"/>
        <v>377008193858.1604</v>
      </c>
      <c r="O46" s="21">
        <f t="shared" si="112"/>
        <v>434606700671.06891</v>
      </c>
      <c r="P46" s="21">
        <f t="shared" si="112"/>
        <v>494823103504.93921</v>
      </c>
      <c r="Q46" s="21">
        <f t="shared" si="112"/>
        <v>555039937795.07556</v>
      </c>
      <c r="R46" s="21">
        <f t="shared" si="112"/>
        <v>615256364059.10522</v>
      </c>
      <c r="T46" s="44">
        <f t="shared" ref="T46:T92" si="113">IFERROR(G46/G$45,0)</f>
        <v>0.56431852238450197</v>
      </c>
      <c r="U46" s="44">
        <f t="shared" si="101"/>
        <v>0.57326768398738615</v>
      </c>
      <c r="V46" s="44">
        <f t="shared" si="102"/>
        <v>0.57598463532171285</v>
      </c>
      <c r="W46" s="44">
        <f t="shared" si="103"/>
        <v>0.57598463532171285</v>
      </c>
      <c r="X46" s="44">
        <f t="shared" si="104"/>
        <v>0.57598463532171296</v>
      </c>
      <c r="Y46" s="44">
        <f t="shared" si="105"/>
        <v>0.57598463532171285</v>
      </c>
      <c r="Z46" s="44">
        <f t="shared" si="106"/>
        <v>0.57598463532171285</v>
      </c>
      <c r="AA46" s="44">
        <f t="shared" si="107"/>
        <v>0.57598463532171296</v>
      </c>
      <c r="AB46" s="44">
        <f t="shared" si="108"/>
        <v>0.57598463532171285</v>
      </c>
      <c r="AC46" s="44">
        <f t="shared" si="109"/>
        <v>0.57598463532171285</v>
      </c>
      <c r="AD46" s="44">
        <f t="shared" si="110"/>
        <v>0.57598463532171285</v>
      </c>
      <c r="AE46" s="44">
        <f t="shared" si="111"/>
        <v>0.57598463532171296</v>
      </c>
    </row>
    <row r="47" spans="3:31" x14ac:dyDescent="0.25">
      <c r="C47" s="18" t="s">
        <v>5</v>
      </c>
      <c r="D47" s="18"/>
      <c r="E47" s="18"/>
      <c r="G47" s="21">
        <f>G45-G46</f>
        <v>30230432818.04509</v>
      </c>
      <c r="H47" s="21">
        <f t="shared" ref="H47:M47" si="114">H45-H46</f>
        <v>56633781915</v>
      </c>
      <c r="I47" s="21">
        <f t="shared" si="114"/>
        <v>88657728510.599854</v>
      </c>
      <c r="J47" s="21">
        <f t="shared" si="114"/>
        <v>119495288906.13702</v>
      </c>
      <c r="K47" s="21">
        <f t="shared" si="114"/>
        <v>154187321306.55432</v>
      </c>
      <c r="L47" s="21">
        <f t="shared" si="114"/>
        <v>192734257158.04379</v>
      </c>
      <c r="M47" s="21">
        <f t="shared" si="114"/>
        <v>235135724971.81512</v>
      </c>
      <c r="N47" s="21">
        <f t="shared" ref="N47:R47" si="115">N45-N46</f>
        <v>277537380343.8053</v>
      </c>
      <c r="O47" s="21">
        <f t="shared" si="115"/>
        <v>319938948673.07001</v>
      </c>
      <c r="P47" s="21">
        <f t="shared" si="115"/>
        <v>364267700590.13647</v>
      </c>
      <c r="Q47" s="21">
        <f t="shared" si="115"/>
        <v>408596770126.93567</v>
      </c>
      <c r="R47" s="21">
        <f t="shared" si="115"/>
        <v>452925539292.2876</v>
      </c>
      <c r="T47" s="44">
        <f t="shared" si="113"/>
        <v>0.43568147761549803</v>
      </c>
      <c r="U47" s="44">
        <f t="shared" si="101"/>
        <v>0.42673231601261391</v>
      </c>
      <c r="V47" s="44">
        <f t="shared" si="102"/>
        <v>0.42401536467828715</v>
      </c>
      <c r="W47" s="44">
        <f t="shared" si="103"/>
        <v>0.42401536467828721</v>
      </c>
      <c r="X47" s="44">
        <f t="shared" si="104"/>
        <v>0.4240153646782871</v>
      </c>
      <c r="Y47" s="44">
        <f t="shared" si="105"/>
        <v>0.4240153646782871</v>
      </c>
      <c r="Z47" s="44">
        <f t="shared" si="106"/>
        <v>0.4240153646782871</v>
      </c>
      <c r="AA47" s="44">
        <f t="shared" si="107"/>
        <v>0.4240153646782871</v>
      </c>
      <c r="AB47" s="44">
        <f t="shared" si="108"/>
        <v>0.4240153646782871</v>
      </c>
      <c r="AC47" s="44">
        <f t="shared" si="109"/>
        <v>0.42401536467828715</v>
      </c>
      <c r="AD47" s="44">
        <f t="shared" si="110"/>
        <v>0.42401536467828715</v>
      </c>
      <c r="AE47" s="44">
        <f t="shared" si="111"/>
        <v>0.42401536467828704</v>
      </c>
    </row>
    <row r="48" spans="3:31" x14ac:dyDescent="0.25">
      <c r="C48" s="18" t="s">
        <v>6</v>
      </c>
      <c r="D48" s="18"/>
      <c r="E48" s="18"/>
      <c r="G48" s="21">
        <f>G49+G54+G88</f>
        <v>38290905145.800003</v>
      </c>
      <c r="H48" s="21">
        <f t="shared" ref="H48:M48" si="116">H49+H54+H88</f>
        <v>48897003452</v>
      </c>
      <c r="I48" s="21">
        <f t="shared" si="116"/>
        <v>68592722978.290665</v>
      </c>
      <c r="J48" s="21">
        <f t="shared" si="116"/>
        <v>105469511801.38104</v>
      </c>
      <c r="K48" s="21">
        <f t="shared" si="116"/>
        <v>117749551059.10571</v>
      </c>
      <c r="L48" s="21">
        <f t="shared" si="116"/>
        <v>139149087342.4371</v>
      </c>
      <c r="M48" s="21">
        <f t="shared" si="116"/>
        <v>155986752021.38858</v>
      </c>
      <c r="N48" s="21">
        <f t="shared" ref="N48:R48" si="117">N49+N54+N88</f>
        <v>170487169808.91681</v>
      </c>
      <c r="O48" s="21">
        <f t="shared" si="117"/>
        <v>190922642872.28055</v>
      </c>
      <c r="P48" s="21">
        <f t="shared" si="117"/>
        <v>213743185637.41064</v>
      </c>
      <c r="Q48" s="21">
        <f t="shared" si="117"/>
        <v>237902690952.51932</v>
      </c>
      <c r="R48" s="21">
        <f t="shared" si="117"/>
        <v>263359762925.02173</v>
      </c>
      <c r="T48" s="44">
        <f t="shared" si="113"/>
        <v>0.55184913274542524</v>
      </c>
      <c r="U48" s="44">
        <f t="shared" si="101"/>
        <v>0.36843613164428624</v>
      </c>
      <c r="V48" s="44">
        <f t="shared" si="102"/>
        <v>0.32805226274705807</v>
      </c>
      <c r="W48" s="44">
        <f t="shared" si="103"/>
        <v>0.37424649890617351</v>
      </c>
      <c r="X48" s="44">
        <f t="shared" si="104"/>
        <v>0.32381144188740069</v>
      </c>
      <c r="Y48" s="44">
        <f t="shared" si="105"/>
        <v>0.30612799138127617</v>
      </c>
      <c r="Z48" s="44">
        <f t="shared" si="106"/>
        <v>0.28128766716014197</v>
      </c>
      <c r="AA48" s="44">
        <f t="shared" si="107"/>
        <v>0.26046646181479111</v>
      </c>
      <c r="AB48" s="44">
        <f t="shared" si="108"/>
        <v>0.25302994330195006</v>
      </c>
      <c r="AC48" s="44">
        <f t="shared" si="109"/>
        <v>0.24880162215513094</v>
      </c>
      <c r="AD48" s="44">
        <f t="shared" si="110"/>
        <v>0.24688006278375729</v>
      </c>
      <c r="AE48" s="44">
        <f t="shared" si="111"/>
        <v>0.24654954563332082</v>
      </c>
    </row>
    <row r="49" spans="3:31" x14ac:dyDescent="0.25">
      <c r="C49" s="18" t="s">
        <v>38</v>
      </c>
      <c r="D49" s="15"/>
      <c r="E49" s="15"/>
      <c r="G49" s="21">
        <f>G50+G51+G52+G53</f>
        <v>7152973959</v>
      </c>
      <c r="H49" s="21">
        <f t="shared" ref="H49:M49" si="118">H50+H51+H52+H53</f>
        <v>11907345301</v>
      </c>
      <c r="I49" s="21">
        <f t="shared" si="118"/>
        <v>18433913944.49411</v>
      </c>
      <c r="J49" s="21">
        <f t="shared" si="118"/>
        <v>24761183241.096962</v>
      </c>
      <c r="K49" s="21">
        <f t="shared" si="118"/>
        <v>31840792290.311535</v>
      </c>
      <c r="L49" s="21">
        <f t="shared" si="118"/>
        <v>39664648517.823547</v>
      </c>
      <c r="M49" s="21">
        <f t="shared" si="118"/>
        <v>48224493452.619911</v>
      </c>
      <c r="N49" s="21">
        <f t="shared" ref="N49:R49" si="119">N50+N51+N52+N53</f>
        <v>56724376818.583267</v>
      </c>
      <c r="O49" s="21">
        <f t="shared" si="119"/>
        <v>65164242287.68084</v>
      </c>
      <c r="P49" s="21">
        <f t="shared" si="119"/>
        <v>73935267382.529968</v>
      </c>
      <c r="Q49" s="21">
        <f t="shared" si="119"/>
        <v>82643629626.954041</v>
      </c>
      <c r="R49" s="21">
        <f t="shared" si="119"/>
        <v>91289203787.849731</v>
      </c>
      <c r="S49" s="4"/>
      <c r="T49" s="44">
        <f t="shared" si="113"/>
        <v>0.10308877423488468</v>
      </c>
      <c r="U49" s="44">
        <f t="shared" si="101"/>
        <v>8.9721167579518965E-2</v>
      </c>
      <c r="V49" s="44">
        <f t="shared" si="102"/>
        <v>8.8162226519127737E-2</v>
      </c>
      <c r="W49" s="44">
        <f t="shared" si="103"/>
        <v>8.7862226519127729E-2</v>
      </c>
      <c r="X49" s="44">
        <f t="shared" si="104"/>
        <v>8.756222651912772E-2</v>
      </c>
      <c r="Y49" s="44">
        <f t="shared" si="105"/>
        <v>8.7262226519127725E-2</v>
      </c>
      <c r="Z49" s="44">
        <f t="shared" si="106"/>
        <v>8.6962226519127717E-2</v>
      </c>
      <c r="AA49" s="44">
        <f t="shared" si="107"/>
        <v>8.6662226519127708E-2</v>
      </c>
      <c r="AB49" s="44">
        <f t="shared" si="108"/>
        <v>8.6362226519127713E-2</v>
      </c>
      <c r="AC49" s="44">
        <f t="shared" si="109"/>
        <v>8.6062226519127705E-2</v>
      </c>
      <c r="AD49" s="44">
        <f t="shared" si="110"/>
        <v>8.576222651912771E-2</v>
      </c>
      <c r="AE49" s="44">
        <f t="shared" si="111"/>
        <v>8.5462226519127729E-2</v>
      </c>
    </row>
    <row r="50" spans="3:31" x14ac:dyDescent="0.25">
      <c r="C50" s="15" t="s">
        <v>7</v>
      </c>
      <c r="D50" s="46">
        <v>2.2487706368457001E-2</v>
      </c>
      <c r="E50" s="23"/>
      <c r="G50" s="22">
        <v>1747936243</v>
      </c>
      <c r="H50" s="22">
        <v>2869471711</v>
      </c>
      <c r="I50" s="22">
        <f t="shared" ref="I50:R52" si="120">$D50*I$45</f>
        <v>4701973400.3116455</v>
      </c>
      <c r="J50" s="22">
        <f t="shared" si="120"/>
        <v>6337447161.5527067</v>
      </c>
      <c r="K50" s="22">
        <f t="shared" si="120"/>
        <v>8177343313.7534637</v>
      </c>
      <c r="L50" s="22">
        <f t="shared" si="120"/>
        <v>10221684738.715113</v>
      </c>
      <c r="M50" s="22">
        <f t="shared" si="120"/>
        <v>12470451734.484541</v>
      </c>
      <c r="N50" s="22">
        <f t="shared" si="120"/>
        <v>14719228677.426888</v>
      </c>
      <c r="O50" s="22">
        <f t="shared" si="120"/>
        <v>16968001004.047716</v>
      </c>
      <c r="P50" s="22">
        <f t="shared" si="120"/>
        <v>19318981746.33168</v>
      </c>
      <c r="Q50" s="22">
        <f t="shared" si="120"/>
        <v>21669979333.616749</v>
      </c>
      <c r="R50" s="22">
        <f t="shared" si="120"/>
        <v>24020960990.665638</v>
      </c>
      <c r="T50" s="45">
        <f t="shared" si="113"/>
        <v>2.5191284878771012E-2</v>
      </c>
      <c r="U50" s="45">
        <f t="shared" si="101"/>
        <v>2.162130565120159E-2</v>
      </c>
      <c r="V50" s="45">
        <f t="shared" si="102"/>
        <v>2.2487706368457004E-2</v>
      </c>
      <c r="W50" s="45">
        <f t="shared" si="103"/>
        <v>2.2487706368457001E-2</v>
      </c>
      <c r="X50" s="45">
        <f t="shared" si="104"/>
        <v>2.2487706368457001E-2</v>
      </c>
      <c r="Y50" s="45">
        <f t="shared" si="105"/>
        <v>2.2487706368457001E-2</v>
      </c>
      <c r="Z50" s="45">
        <f t="shared" si="106"/>
        <v>2.2487706368457001E-2</v>
      </c>
      <c r="AA50" s="45">
        <f t="shared" si="107"/>
        <v>2.2487706368457001E-2</v>
      </c>
      <c r="AB50" s="45">
        <f t="shared" si="108"/>
        <v>2.2487706368457001E-2</v>
      </c>
      <c r="AC50" s="45">
        <f t="shared" si="109"/>
        <v>2.2487706368457001E-2</v>
      </c>
      <c r="AD50" s="45">
        <f t="shared" si="110"/>
        <v>2.2487706368456997E-2</v>
      </c>
      <c r="AE50" s="45">
        <f t="shared" si="111"/>
        <v>2.2487706368457001E-2</v>
      </c>
    </row>
    <row r="51" spans="3:31" x14ac:dyDescent="0.25">
      <c r="C51" s="15" t="s">
        <v>39</v>
      </c>
      <c r="D51" s="46">
        <v>2.2944392377016931E-5</v>
      </c>
      <c r="E51" s="23"/>
      <c r="G51" s="22">
        <v>1228000</v>
      </c>
      <c r="H51" s="22">
        <v>2291000</v>
      </c>
      <c r="I51" s="22">
        <f t="shared" si="120"/>
        <v>4797462.2611745428</v>
      </c>
      <c r="J51" s="22">
        <f t="shared" si="120"/>
        <v>6466149.6357511701</v>
      </c>
      <c r="K51" s="22">
        <f t="shared" si="120"/>
        <v>8343410.8627241571</v>
      </c>
      <c r="L51" s="22">
        <f t="shared" si="120"/>
        <v>10429269.288584085</v>
      </c>
      <c r="M51" s="22">
        <f t="shared" si="120"/>
        <v>12723704.811265612</v>
      </c>
      <c r="N51" s="22">
        <f t="shared" si="120"/>
        <v>15018150.483129751</v>
      </c>
      <c r="O51" s="22">
        <f t="shared" si="120"/>
        <v>17312591.44492295</v>
      </c>
      <c r="P51" s="22">
        <f t="shared" si="120"/>
        <v>19711316.4966444</v>
      </c>
      <c r="Q51" s="22">
        <f t="shared" si="120"/>
        <v>22110058.735459484</v>
      </c>
      <c r="R51" s="22">
        <f t="shared" si="120"/>
        <v>24508784.720523134</v>
      </c>
      <c r="T51" s="45">
        <f t="shared" si="113"/>
        <v>1.7697955491807264E-5</v>
      </c>
      <c r="U51" s="45">
        <f t="shared" si="101"/>
        <v>1.7262554308172735E-5</v>
      </c>
      <c r="V51" s="45">
        <f t="shared" si="102"/>
        <v>2.2944392377016931E-5</v>
      </c>
      <c r="W51" s="45">
        <f t="shared" si="103"/>
        <v>2.2944392377016931E-5</v>
      </c>
      <c r="X51" s="45">
        <f t="shared" si="104"/>
        <v>2.2944392377016931E-5</v>
      </c>
      <c r="Y51" s="45">
        <f t="shared" si="105"/>
        <v>2.2944392377016931E-5</v>
      </c>
      <c r="Z51" s="45">
        <f t="shared" si="106"/>
        <v>2.2944392377016931E-5</v>
      </c>
      <c r="AA51" s="45">
        <f t="shared" si="107"/>
        <v>2.2944392377016931E-5</v>
      </c>
      <c r="AB51" s="45">
        <f t="shared" si="108"/>
        <v>2.2944392377016931E-5</v>
      </c>
      <c r="AC51" s="45">
        <f t="shared" si="109"/>
        <v>2.2944392377016931E-5</v>
      </c>
      <c r="AD51" s="45">
        <f t="shared" si="110"/>
        <v>2.2944392377016931E-5</v>
      </c>
      <c r="AE51" s="45">
        <f t="shared" si="111"/>
        <v>2.2944392377016931E-5</v>
      </c>
    </row>
    <row r="52" spans="3:31" x14ac:dyDescent="0.25">
      <c r="C52" s="15" t="s">
        <v>40</v>
      </c>
      <c r="D52" s="46">
        <v>4.7670828238800117E-4</v>
      </c>
      <c r="E52" s="23"/>
      <c r="G52" s="22">
        <v>-53352847</v>
      </c>
      <c r="H52" s="22">
        <v>40163609</v>
      </c>
      <c r="I52" s="22">
        <f t="shared" si="120"/>
        <v>99675334.903905228</v>
      </c>
      <c r="J52" s="22">
        <f t="shared" si="120"/>
        <v>134345117.35470507</v>
      </c>
      <c r="K52" s="22">
        <f t="shared" si="120"/>
        <v>173348371.84926724</v>
      </c>
      <c r="L52" s="22">
        <f t="shared" si="120"/>
        <v>216685583.45013964</v>
      </c>
      <c r="M52" s="22">
        <f t="shared" si="120"/>
        <v>264356334.50315714</v>
      </c>
      <c r="N52" s="22">
        <f t="shared" si="120"/>
        <v>312027296.42248702</v>
      </c>
      <c r="O52" s="22">
        <f t="shared" si="120"/>
        <v>359698160.48218346</v>
      </c>
      <c r="P52" s="22">
        <f t="shared" si="120"/>
        <v>409535701.63549036</v>
      </c>
      <c r="Q52" s="22">
        <f t="shared" si="120"/>
        <v>459373599.87952995</v>
      </c>
      <c r="R52" s="22">
        <f t="shared" si="120"/>
        <v>509211160.42458832</v>
      </c>
      <c r="T52" s="45">
        <f t="shared" si="113"/>
        <v>-7.6892207782345494E-4</v>
      </c>
      <c r="U52" s="45">
        <f t="shared" si="101"/>
        <v>3.026305026515562E-4</v>
      </c>
      <c r="V52" s="45">
        <f t="shared" si="102"/>
        <v>4.7670828238800122E-4</v>
      </c>
      <c r="W52" s="45">
        <f t="shared" si="103"/>
        <v>4.7670828238800122E-4</v>
      </c>
      <c r="X52" s="45">
        <f t="shared" si="104"/>
        <v>4.7670828238800117E-4</v>
      </c>
      <c r="Y52" s="45">
        <f t="shared" si="105"/>
        <v>4.7670828238800117E-4</v>
      </c>
      <c r="Z52" s="45">
        <f t="shared" si="106"/>
        <v>4.7670828238800117E-4</v>
      </c>
      <c r="AA52" s="45">
        <f t="shared" si="107"/>
        <v>4.7670828238800117E-4</v>
      </c>
      <c r="AB52" s="45">
        <f t="shared" si="108"/>
        <v>4.7670828238800112E-4</v>
      </c>
      <c r="AC52" s="45">
        <f t="shared" si="109"/>
        <v>4.7670828238800122E-4</v>
      </c>
      <c r="AD52" s="45">
        <f t="shared" si="110"/>
        <v>4.7670828238800117E-4</v>
      </c>
      <c r="AE52" s="45">
        <f t="shared" si="111"/>
        <v>4.7670828238800117E-4</v>
      </c>
    </row>
    <row r="53" spans="3:31" x14ac:dyDescent="0.25">
      <c r="C53" s="15" t="s">
        <v>41</v>
      </c>
      <c r="D53" s="46">
        <v>6.5174867475905701E-2</v>
      </c>
      <c r="E53" s="23" t="s">
        <v>109</v>
      </c>
      <c r="G53" s="22">
        <v>5457162563</v>
      </c>
      <c r="H53" s="22">
        <v>8995418981</v>
      </c>
      <c r="I53" s="22">
        <f>$D53*I$45</f>
        <v>13627467747.017384</v>
      </c>
      <c r="J53" s="22">
        <f>($D53-0.03%)*J$45</f>
        <v>18282924812.553799</v>
      </c>
      <c r="K53" s="22">
        <f>($D53-0.06%)*K$45</f>
        <v>23481757193.846081</v>
      </c>
      <c r="L53" s="22">
        <f>($D53-0.09%)*L$45</f>
        <v>29215848926.369709</v>
      </c>
      <c r="M53" s="22">
        <f>($D53-0.12%)*M$45</f>
        <v>35476961678.820946</v>
      </c>
      <c r="N53" s="22">
        <f>($D53-0.15%)*N$45</f>
        <v>41678102694.250763</v>
      </c>
      <c r="O53" s="22">
        <f>($D53-0.18%)*O$45</f>
        <v>47819230531.706017</v>
      </c>
      <c r="P53" s="22">
        <f>($D53-0.21%)*P$45</f>
        <v>54187038618.066162</v>
      </c>
      <c r="Q53" s="22">
        <f>($D53-0.24%)*Q$45</f>
        <v>60492166634.722305</v>
      </c>
      <c r="R53" s="22">
        <f>($D53-0.27%)*R$45</f>
        <v>66734522852.038979</v>
      </c>
      <c r="T53" s="45">
        <f t="shared" si="113"/>
        <v>7.864871347844532E-2</v>
      </c>
      <c r="U53" s="45">
        <f t="shared" si="101"/>
        <v>6.7779968871357635E-2</v>
      </c>
      <c r="V53" s="45">
        <f t="shared" si="102"/>
        <v>6.5174867475905701E-2</v>
      </c>
      <c r="W53" s="45">
        <f t="shared" si="103"/>
        <v>6.4874867475905706E-2</v>
      </c>
      <c r="X53" s="45">
        <f t="shared" si="104"/>
        <v>6.4574867475905698E-2</v>
      </c>
      <c r="Y53" s="45">
        <f t="shared" si="105"/>
        <v>6.4274867475905703E-2</v>
      </c>
      <c r="Z53" s="45">
        <f t="shared" si="106"/>
        <v>6.3974867475905695E-2</v>
      </c>
      <c r="AA53" s="45">
        <f t="shared" si="107"/>
        <v>6.36748674759057E-2</v>
      </c>
      <c r="AB53" s="45">
        <f t="shared" si="108"/>
        <v>6.3374867475905705E-2</v>
      </c>
      <c r="AC53" s="45">
        <f t="shared" si="109"/>
        <v>6.3074867475905697E-2</v>
      </c>
      <c r="AD53" s="45">
        <f t="shared" si="110"/>
        <v>6.2774867475905702E-2</v>
      </c>
      <c r="AE53" s="45">
        <f t="shared" si="111"/>
        <v>6.24748674759057E-2</v>
      </c>
    </row>
    <row r="54" spans="3:31" x14ac:dyDescent="0.25">
      <c r="C54" s="18" t="s">
        <v>42</v>
      </c>
      <c r="D54" s="24"/>
      <c r="E54" s="24"/>
      <c r="G54" s="21">
        <f t="shared" ref="G54" si="121">G55+G74+G83+G86-G87</f>
        <v>31137931186.799999</v>
      </c>
      <c r="H54" s="21">
        <f>H55+H74+H83+H86-H87</f>
        <v>37003000707</v>
      </c>
      <c r="I54" s="21">
        <f t="shared" ref="I54:M54" si="122">I55+I74+I83+I86-I87</f>
        <v>50158809033.796555</v>
      </c>
      <c r="J54" s="21">
        <f t="shared" si="122"/>
        <v>80708328560.284073</v>
      </c>
      <c r="K54" s="21">
        <f t="shared" si="122"/>
        <v>85908758768.794174</v>
      </c>
      <c r="L54" s="21">
        <f t="shared" si="122"/>
        <v>99484438824.613556</v>
      </c>
      <c r="M54" s="21">
        <f t="shared" si="122"/>
        <v>107762258568.76866</v>
      </c>
      <c r="N54" s="21">
        <f t="shared" ref="N54:R54" si="123">N55+N74+N83+N86-N87</f>
        <v>113762792990.33356</v>
      </c>
      <c r="O54" s="21">
        <f t="shared" si="123"/>
        <v>125758400584.5997</v>
      </c>
      <c r="P54" s="21">
        <f t="shared" si="123"/>
        <v>139807918254.88068</v>
      </c>
      <c r="Q54" s="21">
        <f t="shared" si="123"/>
        <v>155259061325.56528</v>
      </c>
      <c r="R54" s="21">
        <f t="shared" si="123"/>
        <v>172070559137.172</v>
      </c>
      <c r="S54" s="4"/>
      <c r="T54" s="44">
        <f t="shared" si="113"/>
        <v>0.44876035851054047</v>
      </c>
      <c r="U54" s="44">
        <f t="shared" si="101"/>
        <v>0.27881549946309109</v>
      </c>
      <c r="V54" s="44">
        <f t="shared" si="102"/>
        <v>0.23989003622793034</v>
      </c>
      <c r="W54" s="44">
        <f t="shared" si="103"/>
        <v>0.28638427238704578</v>
      </c>
      <c r="X54" s="44">
        <f t="shared" si="104"/>
        <v>0.23624921536827295</v>
      </c>
      <c r="Y54" s="44">
        <f t="shared" si="105"/>
        <v>0.21886576486214845</v>
      </c>
      <c r="Z54" s="44">
        <f t="shared" si="106"/>
        <v>0.19432544064101426</v>
      </c>
      <c r="AA54" s="44">
        <f t="shared" si="107"/>
        <v>0.17380423529566341</v>
      </c>
      <c r="AB54" s="44">
        <f t="shared" si="108"/>
        <v>0.1666677167828223</v>
      </c>
      <c r="AC54" s="44">
        <f t="shared" si="109"/>
        <v>0.16273939563600323</v>
      </c>
      <c r="AD54" s="44">
        <f t="shared" si="110"/>
        <v>0.16111783626462958</v>
      </c>
      <c r="AE54" s="44">
        <f t="shared" si="111"/>
        <v>0.16108731911419311</v>
      </c>
    </row>
    <row r="55" spans="3:31" x14ac:dyDescent="0.25">
      <c r="C55" s="42" t="s">
        <v>43</v>
      </c>
      <c r="D55" s="41"/>
      <c r="E55" s="41"/>
      <c r="F55" s="4"/>
      <c r="G55" s="21">
        <f>G56+G57+G66+G69+G70+G71+G72+G73</f>
        <v>10676967949.799999</v>
      </c>
      <c r="H55" s="21">
        <f t="shared" ref="H55:I55" si="124">H56+H57+H66+H69+H70+H71+H72+H73</f>
        <v>11138495372</v>
      </c>
      <c r="I55" s="21">
        <f t="shared" si="124"/>
        <v>15823135277.648174</v>
      </c>
      <c r="J55" s="21">
        <f t="shared" ref="J55" si="125">J56+J57+J66+J69+J70+J71+J72+J73</f>
        <v>18836583303.678024</v>
      </c>
      <c r="K55" s="21">
        <f t="shared" ref="K55" si="126">K56+K57+K66+K69+K70+K71+K72+K73</f>
        <v>22336710432.618755</v>
      </c>
      <c r="L55" s="21">
        <f t="shared" ref="L55" si="127">L56+L57+L66+L69+L70+L71+L72+L73</f>
        <v>26309300024.935955</v>
      </c>
      <c r="M55" s="21">
        <f t="shared" ref="M55:R55" si="128">M56+M57+M66+M69+M70+M71+M72+M73</f>
        <v>30587644750.531551</v>
      </c>
      <c r="N55" s="21">
        <f t="shared" si="128"/>
        <v>34302133863.730099</v>
      </c>
      <c r="O55" s="21">
        <f t="shared" si="128"/>
        <v>38070577483.972717</v>
      </c>
      <c r="P55" s="21">
        <f t="shared" si="128"/>
        <v>42012060192.272163</v>
      </c>
      <c r="Q55" s="21">
        <f t="shared" si="128"/>
        <v>46036847588.084656</v>
      </c>
      <c r="R55" s="21">
        <f t="shared" si="128"/>
        <v>50164682939.358185</v>
      </c>
      <c r="S55" s="4"/>
      <c r="T55" s="45">
        <f t="shared" si="113"/>
        <v>0.15387663156597151</v>
      </c>
      <c r="U55" s="45">
        <f t="shared" si="101"/>
        <v>8.3927927224129506E-2</v>
      </c>
      <c r="V55" s="45">
        <f t="shared" si="102"/>
        <v>7.5675889601702434E-2</v>
      </c>
      <c r="W55" s="45">
        <f t="shared" si="103"/>
        <v>6.6839461303580969E-2</v>
      </c>
      <c r="X55" s="45">
        <f t="shared" si="104"/>
        <v>6.1425987166413891E-2</v>
      </c>
      <c r="Y55" s="45">
        <f t="shared" si="105"/>
        <v>5.7880459908878787E-2</v>
      </c>
      <c r="Z55" s="45">
        <f t="shared" si="106"/>
        <v>5.5158063901608968E-2</v>
      </c>
      <c r="AA55" s="45">
        <f t="shared" si="107"/>
        <v>5.2406028267094937E-2</v>
      </c>
      <c r="AB55" s="45">
        <f t="shared" si="108"/>
        <v>5.0454969181870132E-2</v>
      </c>
      <c r="AC55" s="45">
        <f t="shared" si="109"/>
        <v>4.8902933184723836E-2</v>
      </c>
      <c r="AD55" s="45">
        <f t="shared" si="110"/>
        <v>4.777407005110737E-2</v>
      </c>
      <c r="AE55" s="45">
        <f t="shared" si="111"/>
        <v>4.6962678156190256E-2</v>
      </c>
    </row>
    <row r="56" spans="3:31" x14ac:dyDescent="0.25">
      <c r="C56" s="43" t="s">
        <v>44</v>
      </c>
      <c r="D56" s="23"/>
      <c r="E56" s="87" t="s">
        <v>126</v>
      </c>
      <c r="G56" s="22">
        <v>6132838443</v>
      </c>
      <c r="H56" s="22">
        <v>6920116927</v>
      </c>
      <c r="I56" s="22">
        <v>8722060691.6957741</v>
      </c>
      <c r="J56" s="22">
        <f>I56*115%</f>
        <v>10030369795.45014</v>
      </c>
      <c r="K56" s="22">
        <f t="shared" ref="K56:M56" si="129">J56*115%</f>
        <v>11534925264.76766</v>
      </c>
      <c r="L56" s="22">
        <f t="shared" si="129"/>
        <v>13265164054.482809</v>
      </c>
      <c r="M56" s="22">
        <f t="shared" si="129"/>
        <v>15254938662.65523</v>
      </c>
      <c r="N56" s="22">
        <f>M56*110%</f>
        <v>16780432528.920753</v>
      </c>
      <c r="O56" s="22">
        <f t="shared" ref="O56:R56" si="130">N56*110%</f>
        <v>18458475781.812832</v>
      </c>
      <c r="P56" s="22">
        <f t="shared" si="130"/>
        <v>20304323359.994118</v>
      </c>
      <c r="Q56" s="22">
        <f t="shared" si="130"/>
        <v>22334755695.99353</v>
      </c>
      <c r="R56" s="22">
        <f t="shared" si="130"/>
        <v>24568231265.592884</v>
      </c>
      <c r="T56" s="45">
        <f t="shared" si="113"/>
        <v>8.8386564985878296E-2</v>
      </c>
      <c r="U56" s="45">
        <f t="shared" si="101"/>
        <v>5.2142686281642481E-2</v>
      </c>
      <c r="V56" s="45">
        <f t="shared" si="102"/>
        <v>4.1714217215630248E-2</v>
      </c>
      <c r="W56" s="45">
        <f t="shared" si="103"/>
        <v>3.5591619934210152E-2</v>
      </c>
      <c r="X56" s="45">
        <f t="shared" si="104"/>
        <v>3.1721061765856984E-2</v>
      </c>
      <c r="Y56" s="45">
        <f t="shared" si="105"/>
        <v>2.9183360846258822E-2</v>
      </c>
      <c r="Z56" s="45">
        <f t="shared" si="106"/>
        <v>2.7508913760195285E-2</v>
      </c>
      <c r="AA56" s="45">
        <f t="shared" si="107"/>
        <v>2.5636767232564018E-2</v>
      </c>
      <c r="AB56" s="45">
        <f t="shared" si="108"/>
        <v>2.4463033877217613E-2</v>
      </c>
      <c r="AC56" s="45">
        <f t="shared" si="109"/>
        <v>2.3634665000729114E-2</v>
      </c>
      <c r="AD56" s="45">
        <f t="shared" si="110"/>
        <v>2.3177568384828613E-2</v>
      </c>
      <c r="AE56" s="45">
        <f t="shared" si="111"/>
        <v>2.3000044457325761E-2</v>
      </c>
    </row>
    <row r="57" spans="3:31" x14ac:dyDescent="0.25">
      <c r="C57" s="43" t="s">
        <v>8</v>
      </c>
      <c r="D57" s="24"/>
      <c r="E57" s="24"/>
      <c r="G57" s="22">
        <f>SUM(G58:G65)</f>
        <v>1503394986.8</v>
      </c>
      <c r="H57" s="22">
        <f>SUM(H58:H65)</f>
        <v>1666998779</v>
      </c>
      <c r="I57" s="22">
        <f t="shared" ref="I57:M57" si="131">SUM(I58:I65)</f>
        <v>2498068887.3200502</v>
      </c>
      <c r="J57" s="22">
        <f t="shared" si="131"/>
        <v>2731309488.3324418</v>
      </c>
      <c r="K57" s="22">
        <f t="shared" si="131"/>
        <v>3130811906.1371913</v>
      </c>
      <c r="L57" s="22">
        <f t="shared" si="131"/>
        <v>3502986041.4958448</v>
      </c>
      <c r="M57" s="22">
        <f t="shared" si="131"/>
        <v>3834231505.3813496</v>
      </c>
      <c r="N57" s="22">
        <f t="shared" ref="N57:R57" si="132">SUM(N58:N65)</f>
        <v>4066393932.9496651</v>
      </c>
      <c r="O57" s="22">
        <f t="shared" si="132"/>
        <v>4199515541.3634963</v>
      </c>
      <c r="P57" s="22">
        <f t="shared" si="132"/>
        <v>4251381558.4044399</v>
      </c>
      <c r="Q57" s="22">
        <f t="shared" si="132"/>
        <v>4199763771.6340103</v>
      </c>
      <c r="R57" s="22">
        <f t="shared" si="132"/>
        <v>4044709767.584446</v>
      </c>
      <c r="T57" s="45">
        <f t="shared" si="113"/>
        <v>2.1666952412860395E-2</v>
      </c>
      <c r="U57" s="45">
        <f t="shared" si="101"/>
        <v>1.2560740704559207E-2</v>
      </c>
      <c r="V57" s="45">
        <f t="shared" si="102"/>
        <v>1.19472899660615E-2</v>
      </c>
      <c r="W57" s="45">
        <f t="shared" si="103"/>
        <v>9.6917393091056642E-3</v>
      </c>
      <c r="X57" s="45">
        <f t="shared" si="104"/>
        <v>8.6097374341210075E-3</v>
      </c>
      <c r="Y57" s="45">
        <f t="shared" si="105"/>
        <v>7.706569271854119E-3</v>
      </c>
      <c r="Z57" s="45">
        <f t="shared" si="106"/>
        <v>6.9141899650090443E-3</v>
      </c>
      <c r="AA57" s="45">
        <f t="shared" si="107"/>
        <v>6.2125451507444524E-3</v>
      </c>
      <c r="AB57" s="45">
        <f t="shared" si="108"/>
        <v>5.5656215697668801E-3</v>
      </c>
      <c r="AC57" s="45">
        <f t="shared" si="109"/>
        <v>4.9486987151289991E-3</v>
      </c>
      <c r="AD57" s="45">
        <f t="shared" si="110"/>
        <v>4.3582438662910549E-3</v>
      </c>
      <c r="AE57" s="45">
        <f t="shared" si="111"/>
        <v>3.7865365017833337E-3</v>
      </c>
    </row>
    <row r="58" spans="3:31" hidden="1" outlineLevel="1" x14ac:dyDescent="0.25">
      <c r="C58" s="43" t="s">
        <v>45</v>
      </c>
      <c r="D58" s="24"/>
      <c r="E58" s="23" t="s">
        <v>71</v>
      </c>
      <c r="G58" s="22">
        <v>327948159</v>
      </c>
      <c r="H58" s="22">
        <v>243690351</v>
      </c>
      <c r="I58" s="22">
        <f>H58*105%</f>
        <v>255874868.55000001</v>
      </c>
      <c r="J58" s="22">
        <f t="shared" ref="J58:M58" si="133">I58*105%</f>
        <v>268668611.97750002</v>
      </c>
      <c r="K58" s="22">
        <f t="shared" si="133"/>
        <v>282102042.57637501</v>
      </c>
      <c r="L58" s="22">
        <f t="shared" si="133"/>
        <v>296207144.70519376</v>
      </c>
      <c r="M58" s="22">
        <f t="shared" si="133"/>
        <v>311017501.94045347</v>
      </c>
      <c r="N58" s="22">
        <f t="shared" ref="N58:N61" si="134">M58*105%</f>
        <v>326568377.03747618</v>
      </c>
      <c r="O58" s="22">
        <f t="shared" ref="O58:O61" si="135">N58*105%</f>
        <v>342896795.88935</v>
      </c>
      <c r="P58" s="22">
        <f t="shared" ref="P58:P61" si="136">O58*105%</f>
        <v>360041635.68381751</v>
      </c>
      <c r="Q58" s="22">
        <f t="shared" ref="Q58:Q61" si="137">P58*105%</f>
        <v>378043717.4680084</v>
      </c>
      <c r="R58" s="22">
        <f t="shared" ref="R58:R61" si="138">Q58*105%</f>
        <v>396945903.34140885</v>
      </c>
      <c r="T58" s="45">
        <f t="shared" si="113"/>
        <v>4.7263940729659051E-3</v>
      </c>
      <c r="U58" s="45">
        <f t="shared" si="101"/>
        <v>1.8361928932846688E-3</v>
      </c>
      <c r="V58" s="45">
        <f t="shared" si="102"/>
        <v>1.2237497793242636E-3</v>
      </c>
      <c r="W58" s="45">
        <f t="shared" si="103"/>
        <v>9.5333983898505167E-4</v>
      </c>
      <c r="X58" s="45">
        <f t="shared" si="104"/>
        <v>7.75781039880006E-4</v>
      </c>
      <c r="Y58" s="45">
        <f t="shared" si="105"/>
        <v>6.5165571670788532E-4</v>
      </c>
      <c r="Z58" s="45">
        <f t="shared" si="106"/>
        <v>5.6085139560319377E-4</v>
      </c>
      <c r="AA58" s="45">
        <f t="shared" si="107"/>
        <v>4.989238181552667E-4</v>
      </c>
      <c r="AB58" s="45">
        <f t="shared" si="108"/>
        <v>4.5444141939907871E-4</v>
      </c>
      <c r="AC58" s="45">
        <f t="shared" si="109"/>
        <v>4.1909613508558946E-4</v>
      </c>
      <c r="AD58" s="45">
        <f t="shared" si="110"/>
        <v>3.9230937796384168E-4</v>
      </c>
      <c r="AE58" s="45">
        <f t="shared" si="111"/>
        <v>3.716089011581281E-4</v>
      </c>
    </row>
    <row r="59" spans="3:31" hidden="1" outlineLevel="1" x14ac:dyDescent="0.25">
      <c r="C59" s="43" t="s">
        <v>46</v>
      </c>
      <c r="D59" s="23"/>
      <c r="E59" s="23" t="s">
        <v>72</v>
      </c>
      <c r="G59" s="22">
        <v>5764848</v>
      </c>
      <c r="H59" s="22">
        <v>36422309</v>
      </c>
      <c r="I59" s="22">
        <f t="shared" ref="I59:M59" si="139">H59*105%</f>
        <v>38243424.450000003</v>
      </c>
      <c r="J59" s="22">
        <f t="shared" si="139"/>
        <v>40155595.672500007</v>
      </c>
      <c r="K59" s="22">
        <f t="shared" si="139"/>
        <v>42163375.456125006</v>
      </c>
      <c r="L59" s="22">
        <f t="shared" si="139"/>
        <v>44271544.228931256</v>
      </c>
      <c r="M59" s="22">
        <f t="shared" si="139"/>
        <v>46485121.440377824</v>
      </c>
      <c r="N59" s="22">
        <f t="shared" si="134"/>
        <v>48809377.512396716</v>
      </c>
      <c r="O59" s="22">
        <f t="shared" si="135"/>
        <v>51249846.388016552</v>
      </c>
      <c r="P59" s="22">
        <f t="shared" si="136"/>
        <v>53812338.707417384</v>
      </c>
      <c r="Q59" s="22">
        <f t="shared" si="137"/>
        <v>56502955.642788254</v>
      </c>
      <c r="R59" s="22">
        <f t="shared" si="138"/>
        <v>59328103.424927667</v>
      </c>
      <c r="T59" s="45">
        <f t="shared" si="113"/>
        <v>8.3083080880320945E-5</v>
      </c>
      <c r="U59" s="45">
        <f t="shared" si="101"/>
        <v>2.744400205768436E-4</v>
      </c>
      <c r="V59" s="45">
        <f t="shared" si="102"/>
        <v>1.8290339530607899E-4</v>
      </c>
      <c r="W59" s="45">
        <f t="shared" si="103"/>
        <v>1.4248753820180515E-4</v>
      </c>
      <c r="X59" s="45">
        <f t="shared" si="104"/>
        <v>1.1594934569588644E-4</v>
      </c>
      <c r="Y59" s="45">
        <f t="shared" si="105"/>
        <v>9.7397397058002772E-5</v>
      </c>
      <c r="Z59" s="45">
        <f t="shared" si="106"/>
        <v>8.382565312871484E-5</v>
      </c>
      <c r="AA59" s="45">
        <f t="shared" si="107"/>
        <v>7.4569868678595877E-5</v>
      </c>
      <c r="AB59" s="45">
        <f t="shared" si="108"/>
        <v>6.7921465629764877E-5</v>
      </c>
      <c r="AC59" s="45">
        <f t="shared" si="109"/>
        <v>6.2638708796447512E-5</v>
      </c>
      <c r="AD59" s="45">
        <f t="shared" si="110"/>
        <v>5.8635121699163351E-5</v>
      </c>
      <c r="AE59" s="45">
        <f t="shared" si="111"/>
        <v>5.5541198777836709E-5</v>
      </c>
    </row>
    <row r="60" spans="3:31" hidden="1" outlineLevel="1" x14ac:dyDescent="0.25">
      <c r="C60" s="43" t="s">
        <v>47</v>
      </c>
      <c r="D60" s="23"/>
      <c r="E60" s="23" t="s">
        <v>72</v>
      </c>
      <c r="G60" s="22">
        <v>19773624</v>
      </c>
      <c r="H60" s="22">
        <v>19075775</v>
      </c>
      <c r="I60" s="22">
        <f t="shared" ref="I60:M60" si="140">H60*105%</f>
        <v>20029563.75</v>
      </c>
      <c r="J60" s="22">
        <f t="shared" si="140"/>
        <v>21031041.9375</v>
      </c>
      <c r="K60" s="22">
        <f t="shared" si="140"/>
        <v>22082594.034375001</v>
      </c>
      <c r="L60" s="22">
        <f t="shared" si="140"/>
        <v>23186723.736093752</v>
      </c>
      <c r="M60" s="22">
        <f t="shared" si="140"/>
        <v>24346059.922898442</v>
      </c>
      <c r="N60" s="22">
        <f t="shared" si="134"/>
        <v>25563362.919043366</v>
      </c>
      <c r="O60" s="22">
        <f t="shared" si="135"/>
        <v>26841531.064995535</v>
      </c>
      <c r="P60" s="22">
        <f t="shared" si="136"/>
        <v>28183607.618245311</v>
      </c>
      <c r="Q60" s="22">
        <f t="shared" si="137"/>
        <v>29592787.999157578</v>
      </c>
      <c r="R60" s="22">
        <f t="shared" si="138"/>
        <v>31072427.399115458</v>
      </c>
      <c r="T60" s="45">
        <f t="shared" si="113"/>
        <v>2.8497778295092171E-4</v>
      </c>
      <c r="U60" s="45">
        <f t="shared" si="101"/>
        <v>1.437348764329916E-4</v>
      </c>
      <c r="V60" s="45">
        <f t="shared" si="102"/>
        <v>9.5793597698455056E-5</v>
      </c>
      <c r="W60" s="45">
        <f t="shared" si="103"/>
        <v>7.4626246761058974E-5</v>
      </c>
      <c r="X60" s="45">
        <f t="shared" si="104"/>
        <v>6.0727166690391535E-5</v>
      </c>
      <c r="Y60" s="45">
        <f t="shared" si="105"/>
        <v>5.1010792090751931E-5</v>
      </c>
      <c r="Z60" s="45">
        <f t="shared" si="106"/>
        <v>4.3902743736302112E-5</v>
      </c>
      <c r="AA60" s="45">
        <f t="shared" si="107"/>
        <v>3.9055130653370777E-5</v>
      </c>
      <c r="AB60" s="45">
        <f t="shared" si="108"/>
        <v>3.5573104275833478E-5</v>
      </c>
      <c r="AC60" s="45">
        <f t="shared" si="109"/>
        <v>3.2806319755607846E-5</v>
      </c>
      <c r="AD60" s="45">
        <f t="shared" si="110"/>
        <v>3.0709486008447673E-5</v>
      </c>
      <c r="AE60" s="45">
        <f t="shared" si="111"/>
        <v>2.9089078650018812E-5</v>
      </c>
    </row>
    <row r="61" spans="3:31" hidden="1" outlineLevel="1" x14ac:dyDescent="0.25">
      <c r="C61" s="43" t="s">
        <v>48</v>
      </c>
      <c r="D61" s="23"/>
      <c r="E61" s="23" t="s">
        <v>73</v>
      </c>
      <c r="G61" s="22">
        <v>0</v>
      </c>
      <c r="H61" s="22">
        <v>1800000</v>
      </c>
      <c r="I61" s="22">
        <f t="shared" ref="I61:M61" si="141">H61*105%</f>
        <v>1890000</v>
      </c>
      <c r="J61" s="22">
        <f t="shared" si="141"/>
        <v>1984500</v>
      </c>
      <c r="K61" s="22">
        <f t="shared" si="141"/>
        <v>2083725</v>
      </c>
      <c r="L61" s="22">
        <f t="shared" si="141"/>
        <v>2187911.25</v>
      </c>
      <c r="M61" s="22">
        <f t="shared" si="141"/>
        <v>2297306.8125</v>
      </c>
      <c r="N61" s="22">
        <f t="shared" si="134"/>
        <v>2412172.1531250002</v>
      </c>
      <c r="O61" s="22">
        <f t="shared" si="135"/>
        <v>2532780.7607812504</v>
      </c>
      <c r="P61" s="22">
        <f t="shared" si="136"/>
        <v>2659419.7988203131</v>
      </c>
      <c r="Q61" s="22">
        <f t="shared" si="137"/>
        <v>2792390.7887613289</v>
      </c>
      <c r="R61" s="22">
        <f t="shared" si="138"/>
        <v>2932010.3281993954</v>
      </c>
      <c r="T61" s="45">
        <f t="shared" si="113"/>
        <v>0</v>
      </c>
      <c r="U61" s="45">
        <f t="shared" si="101"/>
        <v>1.356289731763899E-5</v>
      </c>
      <c r="V61" s="45">
        <f t="shared" si="102"/>
        <v>9.0391334484297013E-6</v>
      </c>
      <c r="W61" s="45">
        <f t="shared" si="103"/>
        <v>7.0417712606646985E-6</v>
      </c>
      <c r="X61" s="45">
        <f t="shared" si="104"/>
        <v>5.7302468729425024E-6</v>
      </c>
      <c r="Y61" s="45">
        <f t="shared" si="105"/>
        <v>4.8134047378601112E-6</v>
      </c>
      <c r="Z61" s="45">
        <f t="shared" si="106"/>
        <v>4.1426856169850922E-6</v>
      </c>
      <c r="AA61" s="45">
        <f t="shared" si="107"/>
        <v>3.6852623380212538E-6</v>
      </c>
      <c r="AB61" s="45">
        <f t="shared" si="108"/>
        <v>3.3566965272184356E-6</v>
      </c>
      <c r="AC61" s="45">
        <f t="shared" si="109"/>
        <v>3.0956213081824524E-6</v>
      </c>
      <c r="AD61" s="45">
        <f t="shared" si="110"/>
        <v>2.8977629907673896E-6</v>
      </c>
      <c r="AE61" s="45">
        <f t="shared" si="111"/>
        <v>2.7448605139258489E-6</v>
      </c>
    </row>
    <row r="62" spans="3:31" hidden="1" outlineLevel="1" x14ac:dyDescent="0.25">
      <c r="C62" s="43" t="s">
        <v>49</v>
      </c>
      <c r="D62" s="23"/>
      <c r="E62" s="23" t="s">
        <v>76</v>
      </c>
      <c r="G62" s="22">
        <v>191709756</v>
      </c>
      <c r="H62" s="22">
        <v>121159706</v>
      </c>
      <c r="I62" s="22">
        <v>213093947</v>
      </c>
      <c r="J62" s="22">
        <f>I62/I$45*J$45</f>
        <v>287213796.12009376</v>
      </c>
      <c r="K62" s="22">
        <f>J62/J$45*K$45</f>
        <v>370598090.27977276</v>
      </c>
      <c r="L62" s="22">
        <f>K62/K$45*L$45</f>
        <v>463247866.48476112</v>
      </c>
      <c r="M62" s="22">
        <f>L62/L$45*M$45</f>
        <v>565162231.8403964</v>
      </c>
      <c r="N62" s="22">
        <f t="shared" ref="N62:R62" si="142">M62/M$45*N$45</f>
        <v>667077048.00299263</v>
      </c>
      <c r="O62" s="22">
        <f t="shared" si="142"/>
        <v>768991654.95339441</v>
      </c>
      <c r="P62" s="22">
        <f t="shared" si="142"/>
        <v>875538358.44199228</v>
      </c>
      <c r="Q62" s="22">
        <f t="shared" si="142"/>
        <v>982085825.34787655</v>
      </c>
      <c r="R62" s="22">
        <f t="shared" si="142"/>
        <v>1088632570.2937205</v>
      </c>
      <c r="T62" s="45">
        <f t="shared" si="113"/>
        <v>2.7629240464439988E-3</v>
      </c>
      <c r="U62" s="45">
        <f t="shared" si="101"/>
        <v>9.129314730629603E-4</v>
      </c>
      <c r="V62" s="45">
        <f t="shared" si="102"/>
        <v>1.019145303696088E-3</v>
      </c>
      <c r="W62" s="45">
        <f t="shared" si="103"/>
        <v>1.019145303696088E-3</v>
      </c>
      <c r="X62" s="45">
        <f t="shared" si="104"/>
        <v>1.019145303696088E-3</v>
      </c>
      <c r="Y62" s="45">
        <f t="shared" si="105"/>
        <v>1.019145303696088E-3</v>
      </c>
      <c r="Z62" s="45">
        <f t="shared" si="106"/>
        <v>1.019145303696088E-3</v>
      </c>
      <c r="AA62" s="45">
        <f t="shared" si="107"/>
        <v>1.019145303696088E-3</v>
      </c>
      <c r="AB62" s="45">
        <f t="shared" si="108"/>
        <v>1.019145303696088E-3</v>
      </c>
      <c r="AC62" s="45">
        <f t="shared" si="109"/>
        <v>1.019145303696088E-3</v>
      </c>
      <c r="AD62" s="45">
        <f t="shared" si="110"/>
        <v>1.019145303696088E-3</v>
      </c>
      <c r="AE62" s="45">
        <f t="shared" si="111"/>
        <v>1.019145303696088E-3</v>
      </c>
    </row>
    <row r="63" spans="3:31" hidden="1" outlineLevel="1" x14ac:dyDescent="0.25">
      <c r="C63" s="43" t="s">
        <v>50</v>
      </c>
      <c r="D63" s="23"/>
      <c r="E63" s="23" t="s">
        <v>110</v>
      </c>
      <c r="G63" s="22">
        <v>950305273</v>
      </c>
      <c r="H63" s="22">
        <v>965251239</v>
      </c>
      <c r="I63" s="22">
        <f>(H63/H$45-0.1%)*I$45</f>
        <v>1311650467.3746724</v>
      </c>
      <c r="J63" s="22">
        <f>(I63/I$45-0.05%)*J$45</f>
        <v>1626968893.0265183</v>
      </c>
      <c r="K63" s="22">
        <f>(J63/J$45-0.05%)*K$45</f>
        <v>1917494599.4801168</v>
      </c>
      <c r="L63" s="22">
        <f t="shared" ref="L63:M63" si="143">(K63/K$45-0.05%)*L$45</f>
        <v>2169596833.8256807</v>
      </c>
      <c r="M63" s="22">
        <f t="shared" si="143"/>
        <v>2369634716.3404107</v>
      </c>
      <c r="N63" s="22">
        <f t="shared" ref="N63" si="144">(M63/M$45-0.05%)*N$45</f>
        <v>2469674429.7614713</v>
      </c>
      <c r="O63" s="22">
        <f t="shared" ref="O63" si="145">(N63/N$45-0.05%)*O$45</f>
        <v>2469713190.847137</v>
      </c>
      <c r="P63" s="22">
        <f t="shared" ref="P63" si="146">(O63/O$45-0.05%)*P$45</f>
        <v>2382355896.2414374</v>
      </c>
      <c r="Q63" s="22">
        <f t="shared" ref="Q63" si="147">(P63/P$45-0.05%)*Q$45</f>
        <v>2190455149.6192088</v>
      </c>
      <c r="R63" s="22">
        <f t="shared" ref="R63" si="148">(Q63/Q$45-0.05%)*R$45</f>
        <v>1894007243.1011164</v>
      </c>
      <c r="T63" s="45">
        <f t="shared" si="113"/>
        <v>1.3695814678488396E-2</v>
      </c>
      <c r="U63" s="45">
        <f t="shared" si="101"/>
        <v>7.2731130223782289E-3</v>
      </c>
      <c r="V63" s="45">
        <f t="shared" si="102"/>
        <v>6.2731130223782289E-3</v>
      </c>
      <c r="W63" s="45">
        <f t="shared" si="103"/>
        <v>5.7731130223782293E-3</v>
      </c>
      <c r="X63" s="45">
        <f t="shared" si="104"/>
        <v>5.2731130223782289E-3</v>
      </c>
      <c r="Y63" s="45">
        <f t="shared" si="105"/>
        <v>4.7731130223782284E-3</v>
      </c>
      <c r="Z63" s="45">
        <f t="shared" si="106"/>
        <v>4.273113022378228E-3</v>
      </c>
      <c r="AA63" s="45">
        <f t="shared" si="107"/>
        <v>3.7731130223782276E-3</v>
      </c>
      <c r="AB63" s="45">
        <f t="shared" si="108"/>
        <v>3.273113022378228E-3</v>
      </c>
      <c r="AC63" s="45">
        <f t="shared" si="109"/>
        <v>2.773113022378228E-3</v>
      </c>
      <c r="AD63" s="45">
        <f t="shared" si="110"/>
        <v>2.273113022378228E-3</v>
      </c>
      <c r="AE63" s="45">
        <f t="shared" si="111"/>
        <v>1.7731130223782279E-3</v>
      </c>
    </row>
    <row r="64" spans="3:31" hidden="1" outlineLevel="1" x14ac:dyDescent="0.25">
      <c r="C64" s="43" t="s">
        <v>51</v>
      </c>
      <c r="D64" s="23"/>
      <c r="E64" s="23" t="s">
        <v>76</v>
      </c>
      <c r="G64" s="22">
        <v>7893326.8000000007</v>
      </c>
      <c r="H64" s="22">
        <v>14599404</v>
      </c>
      <c r="I64" s="22">
        <f>H64/H$45*I$45</f>
        <v>23001179.195377745</v>
      </c>
      <c r="J64" s="22">
        <f t="shared" ref="J64:M64" si="149">I64/I$45*J$45</f>
        <v>31001612.598329533</v>
      </c>
      <c r="K64" s="22">
        <f t="shared" si="149"/>
        <v>40002042.310426727</v>
      </c>
      <c r="L64" s="22">
        <f t="shared" si="149"/>
        <v>50002580.265184224</v>
      </c>
      <c r="M64" s="22">
        <f t="shared" si="149"/>
        <v>61003130.084312424</v>
      </c>
      <c r="N64" s="22">
        <f t="shared" ref="N64" si="150">M64/M$45*N$45</f>
        <v>72003728.563160136</v>
      </c>
      <c r="O64" s="22">
        <f t="shared" ref="O64" si="151">N64/N$45*O$45</f>
        <v>83004304.459821716</v>
      </c>
      <c r="P64" s="22">
        <f t="shared" ref="P64" si="152">O64/O$45*P$45</f>
        <v>94504864.912709758</v>
      </c>
      <c r="Q64" s="22">
        <f t="shared" ref="Q64" si="153">P64/P$45*Q$45</f>
        <v>106005507.76820965</v>
      </c>
      <c r="R64" s="22">
        <f t="shared" ref="R64" si="154">Q64/Q$45*R$45</f>
        <v>117506072.69595753</v>
      </c>
      <c r="T64" s="45">
        <f t="shared" si="113"/>
        <v>1.1375875113085461E-4</v>
      </c>
      <c r="U64" s="45">
        <f t="shared" si="101"/>
        <v>1.1000567630595997E-4</v>
      </c>
      <c r="V64" s="45">
        <f t="shared" si="102"/>
        <v>1.1000567630595997E-4</v>
      </c>
      <c r="W64" s="45">
        <f t="shared" si="103"/>
        <v>1.1000567630595997E-4</v>
      </c>
      <c r="X64" s="45">
        <f t="shared" si="104"/>
        <v>1.1000567630595997E-4</v>
      </c>
      <c r="Y64" s="45">
        <f t="shared" si="105"/>
        <v>1.1000567630595995E-4</v>
      </c>
      <c r="Z64" s="45">
        <f t="shared" si="106"/>
        <v>1.1000567630595995E-4</v>
      </c>
      <c r="AA64" s="45">
        <f t="shared" si="107"/>
        <v>1.1000567630595997E-4</v>
      </c>
      <c r="AB64" s="45">
        <f t="shared" si="108"/>
        <v>1.1000567630595997E-4</v>
      </c>
      <c r="AC64" s="45">
        <f t="shared" si="109"/>
        <v>1.1000567630595997E-4</v>
      </c>
      <c r="AD64" s="45">
        <f t="shared" si="110"/>
        <v>1.1000567630595997E-4</v>
      </c>
      <c r="AE64" s="45">
        <f t="shared" si="111"/>
        <v>1.1000567630595997E-4</v>
      </c>
    </row>
    <row r="65" spans="3:31" hidden="1" outlineLevel="1" x14ac:dyDescent="0.25">
      <c r="C65" s="43" t="s">
        <v>52</v>
      </c>
      <c r="D65" s="23"/>
      <c r="E65" s="23" t="s">
        <v>77</v>
      </c>
      <c r="G65" s="22">
        <v>0</v>
      </c>
      <c r="H65" s="22">
        <v>264999995</v>
      </c>
      <c r="I65" s="22">
        <v>634285437</v>
      </c>
      <c r="J65" s="22">
        <f>I65-15000000*12</f>
        <v>454285437</v>
      </c>
      <c r="K65" s="22">
        <f>J65</f>
        <v>454285437</v>
      </c>
      <c r="L65" s="22">
        <f t="shared" ref="L65:M65" si="155">K65</f>
        <v>454285437</v>
      </c>
      <c r="M65" s="22">
        <f t="shared" si="155"/>
        <v>454285437</v>
      </c>
      <c r="N65" s="22">
        <f t="shared" ref="N65" si="156">M65</f>
        <v>454285437</v>
      </c>
      <c r="O65" s="22">
        <f t="shared" ref="O65" si="157">N65</f>
        <v>454285437</v>
      </c>
      <c r="P65" s="22">
        <f t="shared" ref="P65" si="158">O65</f>
        <v>454285437</v>
      </c>
      <c r="Q65" s="22">
        <f t="shared" ref="Q65" si="159">P65</f>
        <v>454285437</v>
      </c>
      <c r="R65" s="22">
        <f t="shared" ref="R65" si="160">Q65</f>
        <v>454285437</v>
      </c>
      <c r="T65" s="45">
        <f t="shared" si="113"/>
        <v>0</v>
      </c>
      <c r="U65" s="45">
        <f t="shared" si="101"/>
        <v>1.9967598451999143E-3</v>
      </c>
      <c r="V65" s="45">
        <f t="shared" si="102"/>
        <v>3.0335400579039949E-3</v>
      </c>
      <c r="W65" s="45">
        <f t="shared" si="103"/>
        <v>1.6119799115168071E-3</v>
      </c>
      <c r="X65" s="45">
        <f t="shared" si="104"/>
        <v>1.2492856326015037E-3</v>
      </c>
      <c r="Y65" s="45">
        <f t="shared" si="105"/>
        <v>9.9942795887934268E-4</v>
      </c>
      <c r="Z65" s="45">
        <f t="shared" si="106"/>
        <v>8.1920348454357238E-4</v>
      </c>
      <c r="AA65" s="45">
        <f t="shared" si="107"/>
        <v>6.9404706853892241E-4</v>
      </c>
      <c r="AB65" s="45">
        <f t="shared" si="108"/>
        <v>6.0206488155470903E-4</v>
      </c>
      <c r="AC65" s="45">
        <f t="shared" si="109"/>
        <v>5.2879792780289637E-4</v>
      </c>
      <c r="AD65" s="45">
        <f t="shared" si="110"/>
        <v>4.714281152485591E-4</v>
      </c>
      <c r="AE65" s="45">
        <f t="shared" si="111"/>
        <v>4.2528846030314809E-4</v>
      </c>
    </row>
    <row r="66" spans="3:31" collapsed="1" x14ac:dyDescent="0.25">
      <c r="C66" s="43" t="s">
        <v>9</v>
      </c>
      <c r="D66" s="23"/>
      <c r="E66" s="23"/>
      <c r="G66" s="22">
        <f>SUM(G67:G68)</f>
        <v>763429444</v>
      </c>
      <c r="H66" s="22">
        <f>SUM(H67:H68)</f>
        <v>1309305468</v>
      </c>
      <c r="I66" s="22">
        <f t="shared" ref="I66:M66" si="161">SUM(I67:I68)</f>
        <v>2252530726</v>
      </c>
      <c r="J66" s="22">
        <f t="shared" si="161"/>
        <v>3036021950.8797717</v>
      </c>
      <c r="K66" s="22">
        <f t="shared" si="161"/>
        <v>3917443911.9667249</v>
      </c>
      <c r="L66" s="22">
        <f t="shared" si="161"/>
        <v>4896807571.0328369</v>
      </c>
      <c r="M66" s="22">
        <f t="shared" si="161"/>
        <v>5974103489.6464167</v>
      </c>
      <c r="N66" s="22">
        <f t="shared" ref="N66:R66" si="162">SUM(N67:N68)</f>
        <v>7051404173.5597401</v>
      </c>
      <c r="O66" s="22">
        <f t="shared" si="162"/>
        <v>8128702645.9747868</v>
      </c>
      <c r="P66" s="22">
        <f t="shared" si="162"/>
        <v>9254965154.7924519</v>
      </c>
      <c r="Q66" s="22">
        <f t="shared" si="162"/>
        <v>10381235733.388344</v>
      </c>
      <c r="R66" s="22">
        <f t="shared" si="162"/>
        <v>11507498680.433943</v>
      </c>
      <c r="T66" s="45">
        <f t="shared" si="113"/>
        <v>1.1002557264696388E-2</v>
      </c>
      <c r="U66" s="45">
        <f t="shared" si="101"/>
        <v>9.8655420110595905E-3</v>
      </c>
      <c r="V66" s="45">
        <f t="shared" si="102"/>
        <v>1.0772976629101714E-2</v>
      </c>
      <c r="W66" s="45">
        <f t="shared" si="103"/>
        <v>1.0772976629101712E-2</v>
      </c>
      <c r="X66" s="45">
        <f t="shared" si="104"/>
        <v>1.0772976629101714E-2</v>
      </c>
      <c r="Y66" s="45">
        <f t="shared" si="105"/>
        <v>1.0772976629101715E-2</v>
      </c>
      <c r="Z66" s="45">
        <f t="shared" si="106"/>
        <v>1.0772976629101715E-2</v>
      </c>
      <c r="AA66" s="45">
        <f t="shared" si="107"/>
        <v>1.0772976629101717E-2</v>
      </c>
      <c r="AB66" s="45">
        <f t="shared" si="108"/>
        <v>1.0772976629101715E-2</v>
      </c>
      <c r="AC66" s="45">
        <f t="shared" si="109"/>
        <v>1.0772976629101717E-2</v>
      </c>
      <c r="AD66" s="45">
        <f t="shared" si="110"/>
        <v>1.0772976629101717E-2</v>
      </c>
      <c r="AE66" s="45">
        <f t="shared" si="111"/>
        <v>1.0772976629101715E-2</v>
      </c>
    </row>
    <row r="67" spans="3:31" hidden="1" outlineLevel="1" x14ac:dyDescent="0.25">
      <c r="C67" s="43" t="s">
        <v>53</v>
      </c>
      <c r="D67" s="23"/>
      <c r="E67" s="23" t="s">
        <v>76</v>
      </c>
      <c r="G67" s="22">
        <v>728560017</v>
      </c>
      <c r="H67" s="22">
        <v>1259905634</v>
      </c>
      <c r="I67" s="22">
        <v>2175655726</v>
      </c>
      <c r="J67" s="22">
        <f t="shared" ref="J67:M67" si="163">I67/I$45*J$45</f>
        <v>2932407742.7449336</v>
      </c>
      <c r="K67" s="22">
        <f t="shared" si="163"/>
        <v>3783748288.0818405</v>
      </c>
      <c r="L67" s="22">
        <f t="shared" si="163"/>
        <v>4729687949.6762714</v>
      </c>
      <c r="M67" s="22">
        <f t="shared" si="163"/>
        <v>5770217611.2139778</v>
      </c>
      <c r="N67" s="22">
        <f t="shared" ref="N67:N69" si="164">M67/M$45*N$45</f>
        <v>6810751875.4199429</v>
      </c>
      <c r="O67" s="22">
        <f t="shared" ref="O67:O69" si="165">N67/N$45*O$45</f>
        <v>7851284003.6022644</v>
      </c>
      <c r="P67" s="22">
        <f t="shared" ref="P67:P69" si="166">O67/O$45*P$45</f>
        <v>8939109109.8282642</v>
      </c>
      <c r="Q67" s="22">
        <f t="shared" ref="Q67:Q69" si="167">P67/P$45*Q$45</f>
        <v>10026942010.424837</v>
      </c>
      <c r="R67" s="22">
        <f t="shared" ref="R67:R69" si="168">Q67/Q$45*R$45</f>
        <v>11114767539.922806</v>
      </c>
      <c r="T67" s="45">
        <f t="shared" si="113"/>
        <v>1.0500018529296697E-2</v>
      </c>
      <c r="U67" s="45">
        <f t="shared" si="101"/>
        <v>9.4933170799204724E-3</v>
      </c>
      <c r="V67" s="45">
        <f t="shared" si="102"/>
        <v>1.0405313463044553E-2</v>
      </c>
      <c r="W67" s="45">
        <f t="shared" si="103"/>
        <v>1.0405313463044553E-2</v>
      </c>
      <c r="X67" s="45">
        <f t="shared" si="104"/>
        <v>1.0405313463044553E-2</v>
      </c>
      <c r="Y67" s="45">
        <f t="shared" si="105"/>
        <v>1.0405313463044555E-2</v>
      </c>
      <c r="Z67" s="45">
        <f t="shared" si="106"/>
        <v>1.0405313463044555E-2</v>
      </c>
      <c r="AA67" s="45">
        <f t="shared" si="107"/>
        <v>1.0405313463044555E-2</v>
      </c>
      <c r="AB67" s="45">
        <f t="shared" si="108"/>
        <v>1.0405313463044555E-2</v>
      </c>
      <c r="AC67" s="45">
        <f t="shared" si="109"/>
        <v>1.0405313463044555E-2</v>
      </c>
      <c r="AD67" s="45">
        <f t="shared" si="110"/>
        <v>1.0405313463044555E-2</v>
      </c>
      <c r="AE67" s="45">
        <f t="shared" si="111"/>
        <v>1.0405313463044555E-2</v>
      </c>
    </row>
    <row r="68" spans="3:31" hidden="1" outlineLevel="1" x14ac:dyDescent="0.25">
      <c r="C68" s="43" t="s">
        <v>54</v>
      </c>
      <c r="D68" s="23"/>
      <c r="E68" s="23" t="s">
        <v>76</v>
      </c>
      <c r="G68" s="22">
        <v>34869427</v>
      </c>
      <c r="H68" s="22">
        <v>49399834</v>
      </c>
      <c r="I68" s="22">
        <v>76875000</v>
      </c>
      <c r="J68" s="22">
        <f>I68/I$45*J$45</f>
        <v>103614208.13483833</v>
      </c>
      <c r="K68" s="22">
        <f>J68/J$45*K$45</f>
        <v>133695623.88488458</v>
      </c>
      <c r="L68" s="22">
        <f>K68/K$45*L$45</f>
        <v>167119621.35656539</v>
      </c>
      <c r="M68" s="22">
        <f>L68/L$45*M$45</f>
        <v>203885878.43243843</v>
      </c>
      <c r="N68" s="22">
        <f t="shared" si="164"/>
        <v>240652298.13979682</v>
      </c>
      <c r="O68" s="22">
        <f t="shared" si="165"/>
        <v>277418642.37252218</v>
      </c>
      <c r="P68" s="22">
        <f t="shared" si="166"/>
        <v>315856044.96418738</v>
      </c>
      <c r="Q68" s="22">
        <f t="shared" si="167"/>
        <v>354293722.96350592</v>
      </c>
      <c r="R68" s="22">
        <f t="shared" si="168"/>
        <v>392731140.51113695</v>
      </c>
      <c r="T68" s="45">
        <f t="shared" si="113"/>
        <v>5.025387353996925E-4</v>
      </c>
      <c r="U68" s="45">
        <f t="shared" si="101"/>
        <v>3.7222493113911741E-4</v>
      </c>
      <c r="V68" s="45">
        <f t="shared" si="102"/>
        <v>3.6766316605716049E-4</v>
      </c>
      <c r="W68" s="45">
        <f t="shared" si="103"/>
        <v>3.6766316605716049E-4</v>
      </c>
      <c r="X68" s="45">
        <f t="shared" si="104"/>
        <v>3.6766316605716049E-4</v>
      </c>
      <c r="Y68" s="45">
        <f t="shared" si="105"/>
        <v>3.6766316605716054E-4</v>
      </c>
      <c r="Z68" s="45">
        <f t="shared" si="106"/>
        <v>3.6766316605716054E-4</v>
      </c>
      <c r="AA68" s="45">
        <f t="shared" si="107"/>
        <v>3.6766316605716054E-4</v>
      </c>
      <c r="AB68" s="45">
        <f t="shared" si="108"/>
        <v>3.6766316605716054E-4</v>
      </c>
      <c r="AC68" s="45">
        <f t="shared" si="109"/>
        <v>3.6766316605716054E-4</v>
      </c>
      <c r="AD68" s="45">
        <f t="shared" si="110"/>
        <v>3.6766316605716054E-4</v>
      </c>
      <c r="AE68" s="45">
        <f t="shared" si="111"/>
        <v>3.6766316605716054E-4</v>
      </c>
    </row>
    <row r="69" spans="3:31" collapsed="1" x14ac:dyDescent="0.25">
      <c r="C69" s="43" t="s">
        <v>10</v>
      </c>
      <c r="D69" s="23"/>
      <c r="E69" s="23"/>
      <c r="G69" s="22">
        <v>278715106</v>
      </c>
      <c r="H69" s="22">
        <v>495034678</v>
      </c>
      <c r="I69" s="22">
        <v>917363662</v>
      </c>
      <c r="J69" s="22">
        <f>(I69*105%)/I$45*J$45</f>
        <v>1298269982.1827092</v>
      </c>
      <c r="K69" s="22">
        <f>J69/J$45*K$45</f>
        <v>1675185463.1080718</v>
      </c>
      <c r="L69" s="22">
        <f>(K69*105%)/K$45*L$45</f>
        <v>2198682124.1402636</v>
      </c>
      <c r="M69" s="22">
        <f>L69/L$45*M$45</f>
        <v>2682391407.0364566</v>
      </c>
      <c r="N69" s="22">
        <f t="shared" si="164"/>
        <v>3166102829.5673418</v>
      </c>
      <c r="O69" s="22">
        <f t="shared" si="165"/>
        <v>3649813259.1284904</v>
      </c>
      <c r="P69" s="22">
        <f t="shared" si="166"/>
        <v>4155508696.269073</v>
      </c>
      <c r="Q69" s="22">
        <f t="shared" si="167"/>
        <v>4661207756.7656641</v>
      </c>
      <c r="R69" s="22">
        <f t="shared" si="168"/>
        <v>5166903390.671979</v>
      </c>
      <c r="T69" s="45">
        <f t="shared" si="113"/>
        <v>4.0168465316631459E-3</v>
      </c>
      <c r="U69" s="45">
        <f t="shared" si="101"/>
        <v>3.7300580591024895E-3</v>
      </c>
      <c r="V69" s="45">
        <f t="shared" si="102"/>
        <v>4.3873928897133121E-3</v>
      </c>
      <c r="W69" s="45">
        <f t="shared" si="103"/>
        <v>4.6067625341989779E-3</v>
      </c>
      <c r="X69" s="45">
        <f t="shared" si="104"/>
        <v>4.6067625341989779E-3</v>
      </c>
      <c r="Y69" s="45">
        <f t="shared" si="105"/>
        <v>4.8371006609089278E-3</v>
      </c>
      <c r="Z69" s="45">
        <f t="shared" si="106"/>
        <v>4.8371006609089278E-3</v>
      </c>
      <c r="AA69" s="45">
        <f t="shared" si="107"/>
        <v>4.8371006609089278E-3</v>
      </c>
      <c r="AB69" s="45">
        <f t="shared" si="108"/>
        <v>4.8371006609089278E-3</v>
      </c>
      <c r="AC69" s="45">
        <f t="shared" si="109"/>
        <v>4.8371006609089278E-3</v>
      </c>
      <c r="AD69" s="45">
        <f t="shared" si="110"/>
        <v>4.8371006609089278E-3</v>
      </c>
      <c r="AE69" s="45">
        <f t="shared" si="111"/>
        <v>4.8371006609089278E-3</v>
      </c>
    </row>
    <row r="70" spans="3:31" x14ac:dyDescent="0.25">
      <c r="C70" s="43" t="s">
        <v>55</v>
      </c>
      <c r="D70" s="23"/>
      <c r="E70" s="23" t="s">
        <v>75</v>
      </c>
      <c r="G70" s="22">
        <v>7474935</v>
      </c>
      <c r="H70" s="22">
        <v>98712205</v>
      </c>
      <c r="I70" s="22">
        <f>(H70/H$45-0.005%)*I$45</f>
        <v>145065307.74375969</v>
      </c>
      <c r="J70" s="22">
        <f t="shared" ref="J70:M70" si="169">(I70/I$45-0.005%)*J$45</f>
        <v>181432037.75188193</v>
      </c>
      <c r="K70" s="22">
        <f t="shared" si="169"/>
        <v>215923821.80035642</v>
      </c>
      <c r="L70" s="22">
        <f t="shared" si="169"/>
        <v>247177652.24278304</v>
      </c>
      <c r="M70" s="22">
        <f t="shared" si="169"/>
        <v>273829382.86276442</v>
      </c>
      <c r="N70" s="22">
        <f t="shared" ref="N70" si="170">(M70/M$45-0.005%)*N$45</f>
        <v>290481325.97981912</v>
      </c>
      <c r="O70" s="22">
        <f t="shared" ref="O70" si="171">(N70/N$45-0.005%)*O$45</f>
        <v>297133160.21628261</v>
      </c>
      <c r="P70" s="22">
        <f t="shared" ref="P70" si="172">(O70/O$45-0.005%)*P$45</f>
        <v>295347543.64583409</v>
      </c>
      <c r="Q70" s="22">
        <f t="shared" ref="Q70" si="173">(P70/P$45-0.005%)*Q$45</f>
        <v>283107631.67195398</v>
      </c>
      <c r="R70" s="22">
        <f t="shared" ref="R70" si="174">(Q70/Q$45-0.005%)*R$45</f>
        <v>260412956.61455017</v>
      </c>
      <c r="T70" s="45">
        <f t="shared" si="113"/>
        <v>1.0772888186820221E-4</v>
      </c>
      <c r="U70" s="45">
        <f t="shared" si="101"/>
        <v>7.4379083356262781E-4</v>
      </c>
      <c r="V70" s="45">
        <f t="shared" si="102"/>
        <v>6.9379083356262779E-4</v>
      </c>
      <c r="W70" s="45">
        <f t="shared" si="103"/>
        <v>6.4379083356262776E-4</v>
      </c>
      <c r="X70" s="45">
        <f t="shared" si="104"/>
        <v>5.9379083356262774E-4</v>
      </c>
      <c r="Y70" s="45">
        <f t="shared" si="105"/>
        <v>5.4379083356262772E-4</v>
      </c>
      <c r="Z70" s="45">
        <f t="shared" si="106"/>
        <v>4.937908335626277E-4</v>
      </c>
      <c r="AA70" s="45">
        <f t="shared" si="107"/>
        <v>4.4379083356262767E-4</v>
      </c>
      <c r="AB70" s="45">
        <f t="shared" si="108"/>
        <v>3.9379083356262765E-4</v>
      </c>
      <c r="AC70" s="45">
        <f t="shared" si="109"/>
        <v>3.4379083356262763E-4</v>
      </c>
      <c r="AD70" s="45">
        <f t="shared" si="110"/>
        <v>2.937908335626276E-4</v>
      </c>
      <c r="AE70" s="45">
        <f t="shared" si="111"/>
        <v>2.4379083356262761E-4</v>
      </c>
    </row>
    <row r="71" spans="3:31" x14ac:dyDescent="0.25">
      <c r="C71" s="43" t="s">
        <v>56</v>
      </c>
      <c r="D71" s="23"/>
      <c r="E71" s="23"/>
      <c r="G71" s="22">
        <v>208356660</v>
      </c>
      <c r="H71" s="22">
        <v>167455129</v>
      </c>
      <c r="I71" s="22">
        <v>369478125</v>
      </c>
      <c r="J71" s="22">
        <f>I71/I$45*J$45</f>
        <v>497992628.87830651</v>
      </c>
      <c r="K71" s="22">
        <f>J71/J$45*K$45</f>
        <v>642570516.21063244</v>
      </c>
      <c r="L71" s="22">
        <f>K71/K$45*L$45</f>
        <v>803213585.03458512</v>
      </c>
      <c r="M71" s="22">
        <f>L71/L$45*M$45</f>
        <v>979920287.18302798</v>
      </c>
      <c r="N71" s="22">
        <f t="shared" ref="N71:R71" si="175">M71/M$45*N$45</f>
        <v>1156627770.9740891</v>
      </c>
      <c r="O71" s="22">
        <f t="shared" si="175"/>
        <v>1333334892.0174963</v>
      </c>
      <c r="P71" s="22">
        <f t="shared" si="175"/>
        <v>1518073486.3516569</v>
      </c>
      <c r="Q71" s="22">
        <f t="shared" si="175"/>
        <v>1702813404.3554549</v>
      </c>
      <c r="R71" s="22">
        <f t="shared" si="175"/>
        <v>1887552070.5712702</v>
      </c>
      <c r="T71" s="45">
        <f t="shared" si="113"/>
        <v>3.0028394911250965E-3</v>
      </c>
      <c r="U71" s="45">
        <f t="shared" si="101"/>
        <v>1.2617648444105505E-3</v>
      </c>
      <c r="V71" s="45">
        <f t="shared" si="102"/>
        <v>1.76706988261936E-3</v>
      </c>
      <c r="W71" s="45">
        <f t="shared" si="103"/>
        <v>1.76706988261936E-3</v>
      </c>
      <c r="X71" s="45">
        <f t="shared" si="104"/>
        <v>1.76706988261936E-3</v>
      </c>
      <c r="Y71" s="45">
        <f t="shared" si="105"/>
        <v>1.76706988261936E-3</v>
      </c>
      <c r="Z71" s="45">
        <f t="shared" si="106"/>
        <v>1.76706988261936E-3</v>
      </c>
      <c r="AA71" s="45">
        <f t="shared" si="107"/>
        <v>1.76706988261936E-3</v>
      </c>
      <c r="AB71" s="45">
        <f t="shared" si="108"/>
        <v>1.76706988261936E-3</v>
      </c>
      <c r="AC71" s="45">
        <f t="shared" si="109"/>
        <v>1.76706988261936E-3</v>
      </c>
      <c r="AD71" s="45">
        <f t="shared" si="110"/>
        <v>1.76706988261936E-3</v>
      </c>
      <c r="AE71" s="45">
        <f t="shared" si="111"/>
        <v>1.76706988261936E-3</v>
      </c>
    </row>
    <row r="72" spans="3:31" x14ac:dyDescent="0.25">
      <c r="C72" s="43" t="s">
        <v>57</v>
      </c>
      <c r="D72" s="23"/>
      <c r="E72" s="23"/>
      <c r="G72" s="22">
        <v>46119000</v>
      </c>
      <c r="H72" s="22">
        <v>165567565</v>
      </c>
      <c r="I72" s="22">
        <v>204831332</v>
      </c>
      <c r="J72" s="22">
        <f>I72/I$35*J$35</f>
        <v>276077219.72532248</v>
      </c>
      <c r="K72" s="22">
        <f t="shared" ref="K72:M72" si="176">J72/J$35*K$35</f>
        <v>356228328.10291922</v>
      </c>
      <c r="L72" s="22">
        <f t="shared" si="176"/>
        <v>445285653.92911774</v>
      </c>
      <c r="M72" s="22">
        <f t="shared" si="176"/>
        <v>543248338.93081522</v>
      </c>
      <c r="N72" s="22">
        <f t="shared" ref="N72" si="177">M72/M$35*N$35</f>
        <v>641211457.25965118</v>
      </c>
      <c r="O72" s="22">
        <f t="shared" ref="O72" si="178">N72/N$35*O$35</f>
        <v>739174374.48839462</v>
      </c>
      <c r="P72" s="22">
        <f t="shared" ref="P72" si="179">O72/O$35*P$35</f>
        <v>841589780.94655454</v>
      </c>
      <c r="Q72" s="22">
        <f t="shared" ref="Q72" si="180">P72/P$35*Q$35</f>
        <v>944005921.2208637</v>
      </c>
      <c r="R72" s="22">
        <f t="shared" ref="R72" si="181">Q72/Q$35*R$35</f>
        <v>1046421367.528785</v>
      </c>
      <c r="T72" s="45">
        <f t="shared" si="113"/>
        <v>6.6466776003799605E-4</v>
      </c>
      <c r="U72" s="45">
        <f t="shared" si="101"/>
        <v>1.2475421573480661E-3</v>
      </c>
      <c r="V72" s="45">
        <f t="shared" si="102"/>
        <v>9.7962843617333808E-4</v>
      </c>
      <c r="W72" s="45">
        <f t="shared" si="103"/>
        <v>9.7962843617333786E-4</v>
      </c>
      <c r="X72" s="45">
        <f t="shared" si="104"/>
        <v>9.7962843617333786E-4</v>
      </c>
      <c r="Y72" s="45">
        <f t="shared" si="105"/>
        <v>9.7962843617333808E-4</v>
      </c>
      <c r="Z72" s="45">
        <f t="shared" si="106"/>
        <v>9.7962843617333786E-4</v>
      </c>
      <c r="AA72" s="45">
        <f t="shared" si="107"/>
        <v>9.7962843617333786E-4</v>
      </c>
      <c r="AB72" s="45">
        <f t="shared" si="108"/>
        <v>9.7962843617333786E-4</v>
      </c>
      <c r="AC72" s="45">
        <f t="shared" si="109"/>
        <v>9.7962843617333808E-4</v>
      </c>
      <c r="AD72" s="45">
        <f t="shared" si="110"/>
        <v>9.7962843617333808E-4</v>
      </c>
      <c r="AE72" s="45">
        <f t="shared" si="111"/>
        <v>9.796284361733383E-4</v>
      </c>
    </row>
    <row r="73" spans="3:31" x14ac:dyDescent="0.25">
      <c r="C73" s="43" t="s">
        <v>58</v>
      </c>
      <c r="D73" s="23"/>
      <c r="E73" s="23"/>
      <c r="G73" s="22">
        <v>1736639375</v>
      </c>
      <c r="H73" s="22">
        <v>315304621</v>
      </c>
      <c r="I73" s="22">
        <v>713736545.88859141</v>
      </c>
      <c r="J73" s="22">
        <f>I73*110%</f>
        <v>785110200.47745061</v>
      </c>
      <c r="K73" s="22">
        <f t="shared" ref="K73:M73" si="182">J73*110%</f>
        <v>863621220.52519572</v>
      </c>
      <c r="L73" s="22">
        <f t="shared" si="182"/>
        <v>949983342.5777154</v>
      </c>
      <c r="M73" s="22">
        <f t="shared" si="182"/>
        <v>1044981676.835487</v>
      </c>
      <c r="N73" s="22">
        <f t="shared" ref="N73" si="183">M73*110%</f>
        <v>1149479844.5190358</v>
      </c>
      <c r="O73" s="22">
        <f t="shared" ref="O73" si="184">N73*110%</f>
        <v>1264427828.9709394</v>
      </c>
      <c r="P73" s="22">
        <f t="shared" ref="P73" si="185">O73*110%</f>
        <v>1390870611.8680334</v>
      </c>
      <c r="Q73" s="22">
        <f t="shared" ref="Q73" si="186">P73*110%</f>
        <v>1529957673.054837</v>
      </c>
      <c r="R73" s="22">
        <f t="shared" ref="R73" si="187">Q73*110%</f>
        <v>1682953440.3603208</v>
      </c>
      <c r="T73" s="45">
        <f t="shared" si="113"/>
        <v>2.5028474237842005E-2</v>
      </c>
      <c r="U73" s="45">
        <f t="shared" si="101"/>
        <v>2.3758023324444879E-3</v>
      </c>
      <c r="V73" s="45">
        <f t="shared" si="102"/>
        <v>3.4135237488403425E-3</v>
      </c>
      <c r="W73" s="45">
        <f t="shared" si="103"/>
        <v>2.7858737446091264E-3</v>
      </c>
      <c r="X73" s="45">
        <f t="shared" si="104"/>
        <v>2.3749596507798725E-3</v>
      </c>
      <c r="Y73" s="45">
        <f t="shared" si="105"/>
        <v>2.0899633483998769E-3</v>
      </c>
      <c r="Z73" s="45">
        <f t="shared" si="106"/>
        <v>1.8843937340386639E-3</v>
      </c>
      <c r="AA73" s="45">
        <f t="shared" si="107"/>
        <v>1.7561494414204898E-3</v>
      </c>
      <c r="AB73" s="45">
        <f t="shared" si="108"/>
        <v>1.675747292519673E-3</v>
      </c>
      <c r="AC73" s="45">
        <f t="shared" si="109"/>
        <v>1.6190030264997524E-3</v>
      </c>
      <c r="AD73" s="45">
        <f t="shared" si="110"/>
        <v>1.5876913576217345E-3</v>
      </c>
      <c r="AE73" s="45">
        <f t="shared" si="111"/>
        <v>1.5755307547151833E-3</v>
      </c>
    </row>
    <row r="74" spans="3:31" x14ac:dyDescent="0.25">
      <c r="C74" s="42" t="s">
        <v>59</v>
      </c>
      <c r="D74" s="41"/>
      <c r="E74" s="41"/>
      <c r="F74" s="4"/>
      <c r="G74" s="21">
        <f>SUM(G75:G82)</f>
        <v>17235899426</v>
      </c>
      <c r="H74" s="21">
        <f t="shared" ref="H74:M74" si="188">SUM(H75:H82)</f>
        <v>21337810148</v>
      </c>
      <c r="I74" s="21">
        <f t="shared" si="188"/>
        <v>29794446230.148384</v>
      </c>
      <c r="J74" s="21">
        <f t="shared" si="188"/>
        <v>29490579668.939384</v>
      </c>
      <c r="K74" s="21">
        <f t="shared" si="188"/>
        <v>38249480973.508751</v>
      </c>
      <c r="L74" s="21">
        <f t="shared" si="188"/>
        <v>48106253440.558159</v>
      </c>
      <c r="M74" s="21">
        <f t="shared" si="188"/>
        <v>58855751417.498886</v>
      </c>
      <c r="N74" s="21">
        <f t="shared" ref="N74:R74" si="189">SUM(N75:N82)</f>
        <v>65744121620.678329</v>
      </c>
      <c r="O74" s="21">
        <f t="shared" si="189"/>
        <v>77052433336.001358</v>
      </c>
      <c r="P74" s="21">
        <f t="shared" si="189"/>
        <v>89443598774.285812</v>
      </c>
      <c r="Q74" s="21">
        <f t="shared" si="189"/>
        <v>102561754132.09837</v>
      </c>
      <c r="R74" s="21">
        <f t="shared" si="189"/>
        <v>116499040157.49048</v>
      </c>
      <c r="S74" s="4"/>
      <c r="T74" s="45">
        <f t="shared" si="113"/>
        <v>0.2484040561096208</v>
      </c>
      <c r="U74" s="45">
        <f t="shared" si="101"/>
        <v>0.16077918223366622</v>
      </c>
      <c r="V74" s="45">
        <f t="shared" si="102"/>
        <v>0.14249522513035687</v>
      </c>
      <c r="W74" s="45">
        <f t="shared" si="103"/>
        <v>0.10464394878965988</v>
      </c>
      <c r="X74" s="45">
        <f t="shared" si="104"/>
        <v>0.10518613000281815</v>
      </c>
      <c r="Y74" s="45">
        <f t="shared" si="105"/>
        <v>0.10583375730230461</v>
      </c>
      <c r="Z74" s="45">
        <f t="shared" si="106"/>
        <v>0.10613335299728172</v>
      </c>
      <c r="AA74" s="45">
        <f t="shared" si="107"/>
        <v>0.10044238966986341</v>
      </c>
      <c r="AB74" s="45">
        <f t="shared" si="108"/>
        <v>0.10211765637105767</v>
      </c>
      <c r="AC74" s="45">
        <f t="shared" si="109"/>
        <v>0.10411425468405675</v>
      </c>
      <c r="AD74" s="45">
        <f t="shared" si="110"/>
        <v>0.10643197097925297</v>
      </c>
      <c r="AE74" s="45">
        <f t="shared" si="111"/>
        <v>0.10906292251532981</v>
      </c>
    </row>
    <row r="75" spans="3:31" x14ac:dyDescent="0.25">
      <c r="C75" s="43" t="s">
        <v>60</v>
      </c>
      <c r="D75" s="23"/>
      <c r="E75" s="23"/>
      <c r="G75" s="22">
        <v>13860289246</v>
      </c>
      <c r="H75" s="22">
        <v>15907819577</v>
      </c>
      <c r="I75" s="22">
        <f>I22*I24</f>
        <v>22757727621.988724</v>
      </c>
      <c r="J75" s="22">
        <f t="shared" ref="J75:M75" si="190">J22*J24</f>
        <v>23018130782.796993</v>
      </c>
      <c r="K75" s="22">
        <f t="shared" si="190"/>
        <v>30000631755.720383</v>
      </c>
      <c r="L75" s="22">
        <f t="shared" si="190"/>
        <v>38552974761.0327</v>
      </c>
      <c r="M75" s="22">
        <f t="shared" si="190"/>
        <v>48943915353.527184</v>
      </c>
      <c r="N75" s="22">
        <f t="shared" ref="N75:R75" si="191">N22*N24</f>
        <v>56013891774.06086</v>
      </c>
      <c r="O75" s="22">
        <f t="shared" si="191"/>
        <v>67970078473.678261</v>
      </c>
      <c r="P75" s="22">
        <f t="shared" si="191"/>
        <v>81460621084.201157</v>
      </c>
      <c r="Q75" s="22">
        <f t="shared" si="191"/>
        <v>96183012812.932831</v>
      </c>
      <c r="R75" s="22">
        <f t="shared" si="191"/>
        <v>112229402868.44351</v>
      </c>
      <c r="T75" s="45">
        <f t="shared" si="113"/>
        <v>0.19975470861505118</v>
      </c>
      <c r="U75" s="45">
        <f t="shared" si="101"/>
        <v>0.11986451303909906</v>
      </c>
      <c r="V75" s="45">
        <f t="shared" si="102"/>
        <v>0.10884134230591049</v>
      </c>
      <c r="W75" s="45">
        <f t="shared" si="103"/>
        <v>8.1677204243145021E-2</v>
      </c>
      <c r="X75" s="45">
        <f t="shared" si="104"/>
        <v>8.2501782291097073E-2</v>
      </c>
      <c r="Y75" s="45">
        <f t="shared" si="105"/>
        <v>8.4816544260356119E-2</v>
      </c>
      <c r="Z75" s="45">
        <f t="shared" si="106"/>
        <v>8.8259545077195856E-2</v>
      </c>
      <c r="AA75" s="45">
        <f t="shared" si="107"/>
        <v>8.5576763455094865E-2</v>
      </c>
      <c r="AB75" s="45">
        <f t="shared" si="108"/>
        <v>9.0080803636941986E-2</v>
      </c>
      <c r="AC75" s="45">
        <f t="shared" si="109"/>
        <v>9.4821898565202081E-2</v>
      </c>
      <c r="AD75" s="45">
        <f t="shared" si="110"/>
        <v>9.9812524805475852E-2</v>
      </c>
      <c r="AE75" s="45">
        <f t="shared" si="111"/>
        <v>0.10506581558471145</v>
      </c>
    </row>
    <row r="76" spans="3:31" x14ac:dyDescent="0.25">
      <c r="C76" s="43" t="s">
        <v>11</v>
      </c>
      <c r="D76" s="23"/>
      <c r="E76" s="23"/>
      <c r="G76" s="22">
        <v>1718386350</v>
      </c>
      <c r="H76" s="22">
        <v>2700329145</v>
      </c>
      <c r="I76" s="22">
        <f>(H76/H$33-0.2%)*I$33</f>
        <v>3843380371.6966753</v>
      </c>
      <c r="J76" s="22">
        <f t="shared" ref="J76:M76" si="192">(I76/I$33-0.2%)*J$33</f>
        <v>4645815840.3107033</v>
      </c>
      <c r="K76" s="22">
        <f t="shared" si="192"/>
        <v>5286022305.4467783</v>
      </c>
      <c r="L76" s="22">
        <f t="shared" si="192"/>
        <v>5709921006.0767832</v>
      </c>
      <c r="M76" s="22">
        <f t="shared" si="192"/>
        <v>5884966467.2445049</v>
      </c>
      <c r="N76" s="22">
        <f t="shared" ref="N76" si="193">(M76/M$33-0.2%)*N$33</f>
        <v>5614455473.3040161</v>
      </c>
      <c r="O76" s="22">
        <f t="shared" ref="O76" si="194">(N76/N$33-0.2%)*O$33</f>
        <v>4953969120.7720356</v>
      </c>
      <c r="P76" s="22">
        <f t="shared" ref="P76" si="195">(O76/O$33-0.2%)*P$33</f>
        <v>3911750013.3787646</v>
      </c>
      <c r="Q76" s="22">
        <f t="shared" ref="Q76" si="196">(P76/P$33-0.2%)*Q$33</f>
        <v>2448814003.7708788</v>
      </c>
      <c r="R76" s="22">
        <f t="shared" ref="R76" si="197">(Q76/Q$33-0.2%)*R$33</f>
        <v>565155799.0898658</v>
      </c>
      <c r="T76" s="45">
        <f t="shared" si="113"/>
        <v>2.4765411351815259E-2</v>
      </c>
      <c r="U76" s="45">
        <f t="shared" si="101"/>
        <v>2.0346826065257159E-2</v>
      </c>
      <c r="V76" s="45">
        <f t="shared" si="102"/>
        <v>1.8381390514731005E-2</v>
      </c>
      <c r="W76" s="45">
        <f t="shared" si="103"/>
        <v>1.6485146115717171E-2</v>
      </c>
      <c r="X76" s="45">
        <f t="shared" si="104"/>
        <v>1.4536569262302231E-2</v>
      </c>
      <c r="Y76" s="45">
        <f t="shared" si="105"/>
        <v>1.2561826181686738E-2</v>
      </c>
      <c r="Z76" s="45">
        <f t="shared" si="106"/>
        <v>1.0612237689646158E-2</v>
      </c>
      <c r="AA76" s="45">
        <f t="shared" si="107"/>
        <v>8.5776387383709168E-3</v>
      </c>
      <c r="AB76" s="45">
        <f t="shared" si="108"/>
        <v>6.5654995494018042E-3</v>
      </c>
      <c r="AC76" s="45">
        <f t="shared" si="109"/>
        <v>4.5533603604326917E-3</v>
      </c>
      <c r="AD76" s="45">
        <f t="shared" si="110"/>
        <v>2.5412211714635775E-3</v>
      </c>
      <c r="AE76" s="45">
        <f t="shared" si="111"/>
        <v>5.2908198249446484E-4</v>
      </c>
    </row>
    <row r="77" spans="3:31" x14ac:dyDescent="0.25">
      <c r="C77" s="43" t="s">
        <v>61</v>
      </c>
      <c r="D77" s="23"/>
      <c r="E77" s="23"/>
      <c r="G77" s="22">
        <v>70676134</v>
      </c>
      <c r="H77" s="22">
        <v>99119096</v>
      </c>
      <c r="I77" s="22">
        <f>(H77/H$33)*I$33</f>
        <v>156306454.64454043</v>
      </c>
      <c r="J77" s="22">
        <f t="shared" ref="J77:M77" si="198">(I77/I$33)*J$33</f>
        <v>211806731.43141603</v>
      </c>
      <c r="K77" s="22">
        <f t="shared" si="198"/>
        <v>274175639.8949306</v>
      </c>
      <c r="L77" s="22">
        <f t="shared" si="198"/>
        <v>343450483.22176117</v>
      </c>
      <c r="M77" s="22">
        <f t="shared" si="198"/>
        <v>421238240.75978369</v>
      </c>
      <c r="N77" s="22">
        <f t="shared" ref="N77" si="199">(M77/M$33)*N$33</f>
        <v>496147196.01934272</v>
      </c>
      <c r="O77" s="22">
        <f t="shared" ref="O77" si="200">(N77/N$33)*O$33</f>
        <v>571947505.17887545</v>
      </c>
      <c r="P77" s="22">
        <f t="shared" ref="P77" si="201">(O77/O$33)*P$33</f>
        <v>651192996.14461327</v>
      </c>
      <c r="Q77" s="22">
        <f t="shared" ref="Q77" si="202">(P77/P$33)*Q$33</f>
        <v>730439054.91184723</v>
      </c>
      <c r="R77" s="22">
        <f t="shared" ref="R77" si="203">(Q77/Q$33)*R$33</f>
        <v>809684576.71194911</v>
      </c>
      <c r="T77" s="45">
        <f t="shared" si="113"/>
        <v>1.0185855650366499E-3</v>
      </c>
      <c r="U77" s="45">
        <f t="shared" si="101"/>
        <v>7.4685673403622303E-4</v>
      </c>
      <c r="V77" s="45">
        <f t="shared" si="102"/>
        <v>7.475528584036643E-4</v>
      </c>
      <c r="W77" s="45">
        <f t="shared" si="103"/>
        <v>7.5157195979293114E-4</v>
      </c>
      <c r="X77" s="45">
        <f t="shared" si="104"/>
        <v>7.5398342062649127E-4</v>
      </c>
      <c r="Y77" s="45">
        <f t="shared" si="105"/>
        <v>7.5559106118219821E-4</v>
      </c>
      <c r="Z77" s="45">
        <f t="shared" si="106"/>
        <v>7.5961016257146505E-4</v>
      </c>
      <c r="AA77" s="45">
        <f t="shared" si="107"/>
        <v>7.5800252201575834E-4</v>
      </c>
      <c r="AB77" s="45">
        <f t="shared" si="108"/>
        <v>7.5800252201575844E-4</v>
      </c>
      <c r="AC77" s="45">
        <f t="shared" si="109"/>
        <v>7.5800252201575844E-4</v>
      </c>
      <c r="AD77" s="45">
        <f t="shared" si="110"/>
        <v>7.5800252201575834E-4</v>
      </c>
      <c r="AE77" s="45">
        <f t="shared" si="111"/>
        <v>7.5800252201575866E-4</v>
      </c>
    </row>
    <row r="78" spans="3:31" x14ac:dyDescent="0.25">
      <c r="C78" s="43" t="s">
        <v>62</v>
      </c>
      <c r="D78" s="23"/>
      <c r="E78" s="23"/>
      <c r="G78" s="22">
        <v>803142592</v>
      </c>
      <c r="H78" s="22">
        <v>1884318264</v>
      </c>
      <c r="I78" s="22">
        <v>2061061080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T78" s="45">
        <f t="shared" si="113"/>
        <v>1.157490378403153E-2</v>
      </c>
      <c r="U78" s="45">
        <f t="shared" si="101"/>
        <v>1.4198230626879865E-2</v>
      </c>
      <c r="V78" s="45">
        <f t="shared" si="102"/>
        <v>9.8572519298860562E-3</v>
      </c>
      <c r="W78" s="45">
        <f t="shared" si="103"/>
        <v>0</v>
      </c>
      <c r="X78" s="45">
        <f t="shared" si="104"/>
        <v>0</v>
      </c>
      <c r="Y78" s="45">
        <f t="shared" si="105"/>
        <v>0</v>
      </c>
      <c r="Z78" s="45">
        <f t="shared" si="106"/>
        <v>0</v>
      </c>
      <c r="AA78" s="45">
        <f t="shared" si="107"/>
        <v>0</v>
      </c>
      <c r="AB78" s="45">
        <f t="shared" si="108"/>
        <v>0</v>
      </c>
      <c r="AC78" s="45">
        <f t="shared" si="109"/>
        <v>0</v>
      </c>
      <c r="AD78" s="45">
        <f t="shared" si="110"/>
        <v>0</v>
      </c>
      <c r="AE78" s="45">
        <f t="shared" si="111"/>
        <v>0</v>
      </c>
    </row>
    <row r="79" spans="3:31" x14ac:dyDescent="0.25">
      <c r="C79" s="43" t="s">
        <v>63</v>
      </c>
      <c r="D79" s="23"/>
      <c r="E79" s="23"/>
      <c r="G79" s="22">
        <v>310604000</v>
      </c>
      <c r="H79" s="22">
        <v>446924000</v>
      </c>
      <c r="I79" s="22">
        <f>(H79/H$33-0.03%)*I$33</f>
        <v>642541502.65175331</v>
      </c>
      <c r="J79" s="22">
        <f t="shared" ref="J79:M79" si="204">(I79/I$33-0.03%)*J$33</f>
        <v>786353903.79922104</v>
      </c>
      <c r="K79" s="22">
        <f t="shared" si="204"/>
        <v>908733730.26489472</v>
      </c>
      <c r="L79" s="22">
        <f t="shared" si="204"/>
        <v>1001584927.2904522</v>
      </c>
      <c r="M79" s="22">
        <f t="shared" si="204"/>
        <v>1060704570.6917902</v>
      </c>
      <c r="N79" s="22">
        <f t="shared" ref="N79" si="205">(M79/M$33-0.03%)*N$33</f>
        <v>1051774544.5086775</v>
      </c>
      <c r="O79" s="22">
        <f t="shared" ref="O79" si="206">(N79/N$33-0.03%)*O$33</f>
        <v>984724782.87439501</v>
      </c>
      <c r="P79" s="22">
        <f t="shared" ref="P79" si="207">(O79/O$33-0.03%)*P$33</f>
        <v>861870586.45261598</v>
      </c>
      <c r="Q79" s="22">
        <f t="shared" ref="Q79" si="208">(P79/P$33-0.03%)*Q$33</f>
        <v>675909094.57650423</v>
      </c>
      <c r="R79" s="22">
        <f t="shared" ref="R79" si="209">(Q79/Q$33-0.03%)*R$33</f>
        <v>426839046.58809048</v>
      </c>
      <c r="T79" s="45">
        <f t="shared" si="113"/>
        <v>4.4764297781574132E-3</v>
      </c>
      <c r="U79" s="45">
        <f t="shared" si="101"/>
        <v>3.3675468448824933E-3</v>
      </c>
      <c r="V79" s="45">
        <f t="shared" si="102"/>
        <v>3.0730256024464261E-3</v>
      </c>
      <c r="W79" s="45">
        <f t="shared" si="103"/>
        <v>2.7902868835902486E-3</v>
      </c>
      <c r="X79" s="45">
        <f t="shared" si="104"/>
        <v>2.4990191201755452E-3</v>
      </c>
      <c r="Y79" s="45">
        <f t="shared" si="105"/>
        <v>2.2034868344815804E-3</v>
      </c>
      <c r="Z79" s="45">
        <f t="shared" si="106"/>
        <v>1.9127465016713897E-3</v>
      </c>
      <c r="AA79" s="45">
        <f t="shared" si="107"/>
        <v>1.606877482581745E-3</v>
      </c>
      <c r="AB79" s="45">
        <f t="shared" si="108"/>
        <v>1.3050566042363783E-3</v>
      </c>
      <c r="AC79" s="45">
        <f t="shared" si="109"/>
        <v>1.0032357258910115E-3</v>
      </c>
      <c r="AD79" s="45">
        <f t="shared" si="110"/>
        <v>7.0141484754564448E-4</v>
      </c>
      <c r="AE79" s="45">
        <f t="shared" si="111"/>
        <v>3.9959396920027771E-4</v>
      </c>
    </row>
    <row r="80" spans="3:31" x14ac:dyDescent="0.25">
      <c r="C80" s="43" t="s">
        <v>64</v>
      </c>
      <c r="D80" s="23"/>
      <c r="E80" s="23"/>
      <c r="G80" s="22">
        <v>252190000</v>
      </c>
      <c r="H80" s="22">
        <v>109710000</v>
      </c>
      <c r="I80" s="22">
        <v>55200000</v>
      </c>
      <c r="J80" s="22">
        <f>I80</f>
        <v>55200000</v>
      </c>
      <c r="K80" s="22">
        <f t="shared" ref="K80:M80" si="210">J80</f>
        <v>55200000</v>
      </c>
      <c r="L80" s="22">
        <f t="shared" si="210"/>
        <v>55200000</v>
      </c>
      <c r="M80" s="22">
        <f t="shared" si="210"/>
        <v>55200000</v>
      </c>
      <c r="N80" s="22">
        <f t="shared" ref="N80" si="211">M80</f>
        <v>55200000</v>
      </c>
      <c r="O80" s="22">
        <f t="shared" ref="O80" si="212">N80</f>
        <v>55200000</v>
      </c>
      <c r="P80" s="22">
        <f t="shared" ref="P80" si="213">O80</f>
        <v>55200000</v>
      </c>
      <c r="Q80" s="22">
        <f t="shared" ref="Q80" si="214">P80</f>
        <v>55200000</v>
      </c>
      <c r="R80" s="22">
        <f t="shared" ref="R80" si="215">Q80</f>
        <v>55200000</v>
      </c>
      <c r="T80" s="45">
        <f t="shared" si="113"/>
        <v>3.6345662829632519E-3</v>
      </c>
      <c r="U80" s="45">
        <f t="shared" si="101"/>
        <v>8.2665859151009641E-4</v>
      </c>
      <c r="V80" s="45">
        <f t="shared" si="102"/>
        <v>2.6400008801762939E-4</v>
      </c>
      <c r="W80" s="45">
        <f t="shared" si="103"/>
        <v>1.9587088616210198E-4</v>
      </c>
      <c r="X80" s="45">
        <f t="shared" si="104"/>
        <v>1.5180008272993131E-4</v>
      </c>
      <c r="Y80" s="45">
        <f t="shared" si="105"/>
        <v>1.2143999969371616E-4</v>
      </c>
      <c r="Z80" s="45">
        <f t="shared" si="106"/>
        <v>9.9541012464384127E-5</v>
      </c>
      <c r="AA80" s="45">
        <f t="shared" si="107"/>
        <v>8.433331791648103E-5</v>
      </c>
      <c r="AB80" s="45">
        <f t="shared" si="108"/>
        <v>7.3156607619407225E-5</v>
      </c>
      <c r="AC80" s="45">
        <f t="shared" si="109"/>
        <v>6.4253976106920372E-5</v>
      </c>
      <c r="AD80" s="45">
        <f t="shared" si="110"/>
        <v>5.7282998401994696E-5</v>
      </c>
      <c r="AE80" s="45">
        <f t="shared" si="111"/>
        <v>5.1676591624339862E-5</v>
      </c>
    </row>
    <row r="81" spans="3:31" x14ac:dyDescent="0.25">
      <c r="C81" s="43" t="s">
        <v>65</v>
      </c>
      <c r="D81" s="23"/>
      <c r="E81" s="23"/>
      <c r="G81" s="22">
        <v>220611104</v>
      </c>
      <c r="H81" s="22">
        <v>189590066</v>
      </c>
      <c r="I81" s="22">
        <f>(H81/H$33-0.01%)*I$33</f>
        <v>278229199.16669428</v>
      </c>
      <c r="J81" s="22">
        <f>((I81-10000000)/I$33-0.01%)*J$33</f>
        <v>335357925.6010505</v>
      </c>
      <c r="K81" s="22">
        <f t="shared" ref="K81:M81" si="216">(J81/J$33-0.01%)*K$33</f>
        <v>397717542.18176967</v>
      </c>
      <c r="L81" s="22">
        <f t="shared" si="216"/>
        <v>452622262.93645895</v>
      </c>
      <c r="M81" s="22">
        <f t="shared" si="216"/>
        <v>499226785.27562433</v>
      </c>
      <c r="N81" s="22">
        <f t="shared" ref="N81" si="217">(M81/M$33-0.01%)*N$33</f>
        <v>522152632.78543675</v>
      </c>
      <c r="O81" s="22">
        <f t="shared" ref="O81" si="218">(N81/N$33-0.01%)*O$33</f>
        <v>526013453.49778908</v>
      </c>
      <c r="P81" s="22">
        <f t="shared" ref="P81" si="219">(O81/O$33-0.01%)*P$33</f>
        <v>512464094.10865808</v>
      </c>
      <c r="Q81" s="22">
        <f t="shared" ref="Q81" si="220">(P81/P$33-0.01%)*Q$33</f>
        <v>477879165.90630716</v>
      </c>
      <c r="R81" s="22">
        <f t="shared" ref="R81" si="221">(Q81/Q$33-0.01%)*R$33</f>
        <v>422257866.65707862</v>
      </c>
      <c r="T81" s="45">
        <f t="shared" si="113"/>
        <v>3.1794507325655238E-3</v>
      </c>
      <c r="U81" s="45">
        <f t="shared" si="101"/>
        <v>1.4285503320013329E-3</v>
      </c>
      <c r="V81" s="45">
        <f t="shared" si="102"/>
        <v>1.3306618309616273E-3</v>
      </c>
      <c r="W81" s="45">
        <f t="shared" si="103"/>
        <v>1.1899792403797468E-3</v>
      </c>
      <c r="X81" s="45">
        <f t="shared" si="104"/>
        <v>1.093723837071333E-3</v>
      </c>
      <c r="Y81" s="45">
        <f t="shared" si="105"/>
        <v>9.9576897594878051E-4</v>
      </c>
      <c r="Z81" s="45">
        <f t="shared" si="106"/>
        <v>9.0024528361730698E-4</v>
      </c>
      <c r="AA81" s="45">
        <f t="shared" si="107"/>
        <v>7.9773304314532272E-4</v>
      </c>
      <c r="AB81" s="45">
        <f t="shared" si="108"/>
        <v>6.971260836968671E-4</v>
      </c>
      <c r="AC81" s="45">
        <f t="shared" si="109"/>
        <v>5.9651912424841136E-4</v>
      </c>
      <c r="AD81" s="45">
        <f t="shared" si="110"/>
        <v>4.9591216479995563E-4</v>
      </c>
      <c r="AE81" s="45">
        <f t="shared" si="111"/>
        <v>3.9530520535150017E-4</v>
      </c>
    </row>
    <row r="82" spans="3:31" x14ac:dyDescent="0.25">
      <c r="C82" s="43" t="s">
        <v>107</v>
      </c>
      <c r="D82" s="23"/>
      <c r="E82" s="23"/>
      <c r="G82" s="22">
        <v>0</v>
      </c>
      <c r="H82" s="22">
        <v>0</v>
      </c>
      <c r="I82" s="22">
        <v>0</v>
      </c>
      <c r="J82" s="22">
        <f>20000000+314414485+4500000+90000000+9000000</f>
        <v>437914485</v>
      </c>
      <c r="K82" s="22">
        <f>940000000+18000000+360000000+9000000</f>
        <v>1327000000</v>
      </c>
      <c r="L82" s="22">
        <f>(940000000+18000000+360000000+9000000)+(940000000+18000000+360000000+9000000)/2</f>
        <v>1990500000</v>
      </c>
      <c r="M82" s="22">
        <f>(940000000+18000000+360000000+9000000)+(940000000+18000000+360000000+9000000)/2</f>
        <v>1990500000</v>
      </c>
      <c r="N82" s="22">
        <f t="shared" ref="N82:R82" si="222">(940000000+18000000+360000000+9000000)+(940000000+18000000+360000000+9000000)/2</f>
        <v>1990500000</v>
      </c>
      <c r="O82" s="22">
        <f t="shared" si="222"/>
        <v>1990500000</v>
      </c>
      <c r="P82" s="22">
        <f t="shared" si="222"/>
        <v>1990500000</v>
      </c>
      <c r="Q82" s="22">
        <f t="shared" si="222"/>
        <v>1990500000</v>
      </c>
      <c r="R82" s="22">
        <f t="shared" si="222"/>
        <v>1990500000</v>
      </c>
      <c r="T82" s="45">
        <f t="shared" si="113"/>
        <v>0</v>
      </c>
      <c r="U82" s="45">
        <f t="shared" si="101"/>
        <v>0</v>
      </c>
      <c r="V82" s="45">
        <f t="shared" si="102"/>
        <v>0</v>
      </c>
      <c r="W82" s="45">
        <f t="shared" si="103"/>
        <v>1.5538894608726542E-3</v>
      </c>
      <c r="X82" s="45">
        <f t="shared" si="104"/>
        <v>3.649251988815559E-3</v>
      </c>
      <c r="Y82" s="45">
        <f t="shared" si="105"/>
        <v>4.3790999889554713E-3</v>
      </c>
      <c r="Z82" s="45">
        <f t="shared" si="106"/>
        <v>3.589427270115156E-3</v>
      </c>
      <c r="AA82" s="45">
        <f t="shared" si="107"/>
        <v>3.0410411107383243E-3</v>
      </c>
      <c r="AB82" s="45">
        <f t="shared" si="108"/>
        <v>2.6380113671454724E-3</v>
      </c>
      <c r="AC82" s="45">
        <f t="shared" si="109"/>
        <v>2.3169844101598729E-3</v>
      </c>
      <c r="AD82" s="45">
        <f t="shared" si="110"/>
        <v>2.0656124695501892E-3</v>
      </c>
      <c r="AE82" s="45">
        <f t="shared" si="111"/>
        <v>1.863446659932038E-3</v>
      </c>
    </row>
    <row r="83" spans="3:31" x14ac:dyDescent="0.25">
      <c r="C83" s="42" t="s">
        <v>66</v>
      </c>
      <c r="D83" s="41"/>
      <c r="E83" s="41"/>
      <c r="F83" s="4"/>
      <c r="G83" s="21">
        <f>G84+G85</f>
        <v>3225051994</v>
      </c>
      <c r="H83" s="21">
        <f>H84+H85</f>
        <v>4173643022</v>
      </c>
      <c r="I83" s="21">
        <f t="shared" ref="I83:M83" si="223">I84+I85</f>
        <v>4188175361</v>
      </c>
      <c r="J83" s="21">
        <f t="shared" si="223"/>
        <v>31624242027.666668</v>
      </c>
      <c r="K83" s="21">
        <f t="shared" si="223"/>
        <v>24565643802.666668</v>
      </c>
      <c r="L83" s="21">
        <f t="shared" si="223"/>
        <v>24311961799.119446</v>
      </c>
      <c r="M83" s="21">
        <f t="shared" si="223"/>
        <v>17561938840.73822</v>
      </c>
      <c r="N83" s="21">
        <f t="shared" ref="N83:R83" si="224">N84+N85</f>
        <v>12959613945.925133</v>
      </c>
      <c r="O83" s="21">
        <f t="shared" si="224"/>
        <v>9878466204.6256332</v>
      </c>
      <c r="P83" s="21">
        <f t="shared" si="224"/>
        <v>7595335728.3227053</v>
      </c>
      <c r="Q83" s="21">
        <f t="shared" si="224"/>
        <v>5903536045.3822346</v>
      </c>
      <c r="R83" s="21">
        <f t="shared" si="224"/>
        <v>4649912480.3233471</v>
      </c>
      <c r="S83" s="4"/>
      <c r="T83" s="45">
        <f t="shared" si="113"/>
        <v>4.6479500528156567E-2</v>
      </c>
      <c r="U83" s="45">
        <f t="shared" si="101"/>
        <v>3.1448162082148047E-2</v>
      </c>
      <c r="V83" s="45">
        <f t="shared" si="102"/>
        <v>2.0030410578573674E-2</v>
      </c>
      <c r="W83" s="45">
        <f t="shared" si="103"/>
        <v>0.11221500561891048</v>
      </c>
      <c r="X83" s="45">
        <f t="shared" si="104"/>
        <v>6.7555557274616387E-2</v>
      </c>
      <c r="Y83" s="45">
        <f t="shared" si="105"/>
        <v>5.3486315823164939E-2</v>
      </c>
      <c r="Z83" s="45">
        <f t="shared" si="106"/>
        <v>3.1669079221823826E-2</v>
      </c>
      <c r="AA83" s="45">
        <f t="shared" si="107"/>
        <v>1.9799406575662419E-2</v>
      </c>
      <c r="AB83" s="45">
        <f t="shared" si="108"/>
        <v>1.3091939782850948E-2</v>
      </c>
      <c r="AC83" s="45">
        <f t="shared" si="109"/>
        <v>8.8411326161537268E-3</v>
      </c>
      <c r="AD83" s="45">
        <f t="shared" si="110"/>
        <v>6.1263088016983444E-3</v>
      </c>
      <c r="AE83" s="45">
        <f t="shared" si="111"/>
        <v>4.3531092089599795E-3</v>
      </c>
    </row>
    <row r="84" spans="3:31" x14ac:dyDescent="0.25">
      <c r="C84" s="43" t="s">
        <v>67</v>
      </c>
      <c r="D84" s="23"/>
      <c r="E84" s="23"/>
      <c r="G84" s="22">
        <v>1121181316</v>
      </c>
      <c r="H84" s="22">
        <v>1920659030</v>
      </c>
      <c r="I84" s="22">
        <f>I112</f>
        <v>1935191369</v>
      </c>
      <c r="J84" s="22">
        <f t="shared" ref="J84:L84" si="225">J112</f>
        <v>29371258035.666668</v>
      </c>
      <c r="K84" s="22">
        <f t="shared" si="225"/>
        <v>22312659810.666668</v>
      </c>
      <c r="L84" s="22">
        <f t="shared" si="225"/>
        <v>23173401887.719444</v>
      </c>
      <c r="M84" s="22">
        <f>M112</f>
        <v>17561938840.73822</v>
      </c>
      <c r="N84" s="22">
        <f t="shared" ref="N84:R84" si="226">N112</f>
        <v>12959613945.925133</v>
      </c>
      <c r="O84" s="22">
        <f t="shared" si="226"/>
        <v>9878466204.6256332</v>
      </c>
      <c r="P84" s="22">
        <f t="shared" si="226"/>
        <v>7595335728.3227053</v>
      </c>
      <c r="Q84" s="22">
        <f t="shared" si="226"/>
        <v>5903536045.3822346</v>
      </c>
      <c r="R84" s="22">
        <f t="shared" si="226"/>
        <v>4649912480.3233471</v>
      </c>
      <c r="T84" s="45">
        <f t="shared" si="113"/>
        <v>1.6158482922486884E-2</v>
      </c>
      <c r="U84" s="45">
        <f t="shared" si="101"/>
        <v>1.4472056225603391E-2</v>
      </c>
      <c r="V84" s="45">
        <f t="shared" si="102"/>
        <v>9.2552661548361715E-3</v>
      </c>
      <c r="W84" s="45">
        <f t="shared" si="103"/>
        <v>0.10422054962213385</v>
      </c>
      <c r="X84" s="45">
        <f t="shared" si="104"/>
        <v>6.1359847920000245E-2</v>
      </c>
      <c r="Y84" s="45">
        <f t="shared" si="105"/>
        <v>5.098148402440237E-2</v>
      </c>
      <c r="Z84" s="45">
        <f t="shared" si="106"/>
        <v>3.1669079221823826E-2</v>
      </c>
      <c r="AA84" s="45">
        <f t="shared" si="107"/>
        <v>1.9799406575662419E-2</v>
      </c>
      <c r="AB84" s="45">
        <f t="shared" si="108"/>
        <v>1.3091939782850948E-2</v>
      </c>
      <c r="AC84" s="45">
        <f t="shared" si="109"/>
        <v>8.8411326161537268E-3</v>
      </c>
      <c r="AD84" s="45">
        <f t="shared" si="110"/>
        <v>6.1263088016983444E-3</v>
      </c>
      <c r="AE84" s="45">
        <f t="shared" si="111"/>
        <v>4.3531092089599795E-3</v>
      </c>
    </row>
    <row r="85" spans="3:31" x14ac:dyDescent="0.25">
      <c r="C85" s="43" t="s">
        <v>68</v>
      </c>
      <c r="D85" s="23"/>
      <c r="E85" s="23"/>
      <c r="G85" s="22">
        <v>2103870678</v>
      </c>
      <c r="H85" s="22">
        <v>2252983992</v>
      </c>
      <c r="I85" s="22">
        <f>I126</f>
        <v>2252983992</v>
      </c>
      <c r="J85" s="22">
        <f t="shared" ref="J85:M85" si="227">J126</f>
        <v>2252983992</v>
      </c>
      <c r="K85" s="22">
        <f t="shared" si="227"/>
        <v>2252983992</v>
      </c>
      <c r="L85" s="22">
        <f t="shared" si="227"/>
        <v>1138559911.4000001</v>
      </c>
      <c r="M85" s="22">
        <f t="shared" si="227"/>
        <v>0</v>
      </c>
      <c r="N85" s="22">
        <f t="shared" ref="N85:R85" si="228">N126</f>
        <v>0</v>
      </c>
      <c r="O85" s="22">
        <f t="shared" si="228"/>
        <v>0</v>
      </c>
      <c r="P85" s="22">
        <f t="shared" si="228"/>
        <v>0</v>
      </c>
      <c r="Q85" s="22">
        <f t="shared" si="228"/>
        <v>0</v>
      </c>
      <c r="R85" s="22">
        <f t="shared" si="228"/>
        <v>0</v>
      </c>
      <c r="T85" s="45">
        <f t="shared" si="113"/>
        <v>3.032101760566968E-2</v>
      </c>
      <c r="U85" s="45">
        <f t="shared" si="101"/>
        <v>1.6976105856544656E-2</v>
      </c>
      <c r="V85" s="45">
        <f t="shared" si="102"/>
        <v>1.07751444237375E-2</v>
      </c>
      <c r="W85" s="45">
        <f t="shared" si="103"/>
        <v>7.994455996776631E-3</v>
      </c>
      <c r="X85" s="45">
        <f t="shared" si="104"/>
        <v>6.1957093546161392E-3</v>
      </c>
      <c r="Y85" s="45">
        <f t="shared" si="105"/>
        <v>2.5048317987625634E-3</v>
      </c>
      <c r="Z85" s="45">
        <f t="shared" si="106"/>
        <v>0</v>
      </c>
      <c r="AA85" s="45">
        <f t="shared" si="107"/>
        <v>0</v>
      </c>
      <c r="AB85" s="45">
        <f t="shared" si="108"/>
        <v>0</v>
      </c>
      <c r="AC85" s="45">
        <f t="shared" si="109"/>
        <v>0</v>
      </c>
      <c r="AD85" s="45">
        <f t="shared" si="110"/>
        <v>0</v>
      </c>
      <c r="AE85" s="45">
        <f t="shared" si="111"/>
        <v>0</v>
      </c>
    </row>
    <row r="86" spans="3:31" hidden="1" outlineLevel="1" x14ac:dyDescent="0.25">
      <c r="C86" s="42" t="s">
        <v>69</v>
      </c>
      <c r="D86" s="41"/>
      <c r="E86" s="41"/>
      <c r="F86" s="4"/>
      <c r="G86" s="21">
        <v>0</v>
      </c>
      <c r="H86" s="21">
        <v>356128605</v>
      </c>
      <c r="I86" s="21">
        <f>H86</f>
        <v>356128605</v>
      </c>
      <c r="J86" s="21">
        <f>$J$103*5%</f>
        <v>760000000</v>
      </c>
      <c r="K86" s="21">
        <f t="shared" ref="K86:R86" si="229">$J$103*5%</f>
        <v>760000000</v>
      </c>
      <c r="L86" s="21">
        <f t="shared" si="229"/>
        <v>760000000</v>
      </c>
      <c r="M86" s="21">
        <f t="shared" si="229"/>
        <v>760000000</v>
      </c>
      <c r="N86" s="21">
        <f t="shared" si="229"/>
        <v>760000000</v>
      </c>
      <c r="O86" s="21">
        <f t="shared" si="229"/>
        <v>760000000</v>
      </c>
      <c r="P86" s="21">
        <f t="shared" si="229"/>
        <v>760000000</v>
      </c>
      <c r="Q86" s="21">
        <f t="shared" si="229"/>
        <v>760000000</v>
      </c>
      <c r="R86" s="21">
        <f t="shared" si="229"/>
        <v>760000000</v>
      </c>
      <c r="S86" s="4"/>
      <c r="T86" s="44">
        <f t="shared" si="113"/>
        <v>0</v>
      </c>
      <c r="U86" s="44">
        <f t="shared" si="101"/>
        <v>2.6834087230494528E-3</v>
      </c>
      <c r="V86" s="44">
        <f t="shared" si="102"/>
        <v>1.7032243308984704E-3</v>
      </c>
      <c r="W86" s="44">
        <f t="shared" si="103"/>
        <v>2.696773070347781E-3</v>
      </c>
      <c r="X86" s="44">
        <f t="shared" si="104"/>
        <v>2.0900011390352861E-3</v>
      </c>
      <c r="Y86" s="44">
        <f t="shared" si="105"/>
        <v>1.6719999957830487E-3</v>
      </c>
      <c r="Z86" s="44">
        <f t="shared" si="106"/>
        <v>1.3704922005965932E-3</v>
      </c>
      <c r="AA86" s="44">
        <f t="shared" si="107"/>
        <v>1.1611108988501013E-3</v>
      </c>
      <c r="AB86" s="44">
        <f t="shared" si="108"/>
        <v>1.0072286556295196E-3</v>
      </c>
      <c r="AC86" s="44">
        <f t="shared" si="109"/>
        <v>8.8465619277643983E-4</v>
      </c>
      <c r="AD86" s="44">
        <f t="shared" si="110"/>
        <v>7.8867896350572411E-4</v>
      </c>
      <c r="AE86" s="44">
        <f t="shared" si="111"/>
        <v>7.1148930497279522E-4</v>
      </c>
    </row>
    <row r="87" spans="3:31" hidden="1" outlineLevel="1" x14ac:dyDescent="0.25">
      <c r="C87" s="42" t="s">
        <v>70</v>
      </c>
      <c r="D87" s="41"/>
      <c r="E87" s="41"/>
      <c r="F87" s="4"/>
      <c r="G87" s="21">
        <v>-11817</v>
      </c>
      <c r="H87" s="21">
        <v>3076440</v>
      </c>
      <c r="I87" s="21">
        <f>H87</f>
        <v>3076440</v>
      </c>
      <c r="J87" s="21">
        <f>I87</f>
        <v>3076440</v>
      </c>
      <c r="K87" s="21">
        <f t="shared" ref="K87:M87" si="230">J87</f>
        <v>3076440</v>
      </c>
      <c r="L87" s="21">
        <f t="shared" si="230"/>
        <v>3076440</v>
      </c>
      <c r="M87" s="21">
        <f t="shared" si="230"/>
        <v>3076440</v>
      </c>
      <c r="N87" s="21">
        <f t="shared" ref="N87" si="231">M87</f>
        <v>3076440</v>
      </c>
      <c r="O87" s="21">
        <f t="shared" ref="O87" si="232">N87</f>
        <v>3076440</v>
      </c>
      <c r="P87" s="21">
        <f t="shared" ref="P87" si="233">O87</f>
        <v>3076440</v>
      </c>
      <c r="Q87" s="21">
        <f t="shared" ref="Q87" si="234">P87</f>
        <v>3076440</v>
      </c>
      <c r="R87" s="21">
        <f t="shared" ref="R87" si="235">Q87</f>
        <v>3076440</v>
      </c>
      <c r="S87" s="4"/>
      <c r="T87" s="44">
        <f t="shared" si="113"/>
        <v>-1.7030679156896288E-7</v>
      </c>
      <c r="U87" s="44">
        <f t="shared" si="101"/>
        <v>2.3180799902154051E-5</v>
      </c>
      <c r="V87" s="44">
        <f t="shared" si="102"/>
        <v>1.4713413601104271E-5</v>
      </c>
      <c r="W87" s="44">
        <f t="shared" si="103"/>
        <v>1.0916395453343062E-5</v>
      </c>
      <c r="X87" s="44">
        <f t="shared" si="104"/>
        <v>8.4602146107548895E-6</v>
      </c>
      <c r="Y87" s="44">
        <f t="shared" si="105"/>
        <v>6.7681679829300023E-6</v>
      </c>
      <c r="Z87" s="44">
        <f t="shared" si="106"/>
        <v>5.5476802968465569E-6</v>
      </c>
      <c r="AA87" s="44">
        <f t="shared" si="107"/>
        <v>4.7001158074452704E-6</v>
      </c>
      <c r="AB87" s="44">
        <f t="shared" si="108"/>
        <v>4.0772085859537886E-6</v>
      </c>
      <c r="AC87" s="44">
        <f t="shared" si="109"/>
        <v>3.5810417075067772E-6</v>
      </c>
      <c r="AD87" s="44">
        <f t="shared" si="110"/>
        <v>3.192530934852039E-6</v>
      </c>
      <c r="AE87" s="44">
        <f t="shared" si="111"/>
        <v>2.8800712597243502E-6</v>
      </c>
    </row>
    <row r="88" spans="3:31" hidden="1" outlineLevel="1" x14ac:dyDescent="0.25">
      <c r="C88" s="42" t="s">
        <v>90</v>
      </c>
      <c r="D88" s="23"/>
      <c r="E88" s="23"/>
      <c r="G88" s="21">
        <v>0</v>
      </c>
      <c r="H88" s="21">
        <v>-13342556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4"/>
      <c r="T88" s="44">
        <f t="shared" si="113"/>
        <v>0</v>
      </c>
      <c r="U88" s="44">
        <f t="shared" si="101"/>
        <v>-1.0053539832380445E-4</v>
      </c>
      <c r="V88" s="44">
        <f t="shared" si="102"/>
        <v>0</v>
      </c>
      <c r="W88" s="44">
        <f t="shared" si="103"/>
        <v>0</v>
      </c>
      <c r="X88" s="44">
        <f t="shared" si="104"/>
        <v>0</v>
      </c>
      <c r="Y88" s="44">
        <f t="shared" si="105"/>
        <v>0</v>
      </c>
      <c r="Z88" s="44">
        <f t="shared" si="106"/>
        <v>0</v>
      </c>
      <c r="AA88" s="44">
        <f t="shared" si="107"/>
        <v>0</v>
      </c>
      <c r="AB88" s="44">
        <f t="shared" si="108"/>
        <v>0</v>
      </c>
      <c r="AC88" s="44">
        <f t="shared" si="109"/>
        <v>0</v>
      </c>
      <c r="AD88" s="44">
        <f t="shared" si="110"/>
        <v>0</v>
      </c>
      <c r="AE88" s="44">
        <f t="shared" si="111"/>
        <v>0</v>
      </c>
    </row>
    <row r="89" spans="3:31" collapsed="1" x14ac:dyDescent="0.25">
      <c r="C89" s="18" t="s">
        <v>12</v>
      </c>
      <c r="D89" s="24"/>
      <c r="E89" s="24"/>
      <c r="G89" s="21">
        <f>G47-(G48-G83)</f>
        <v>-4835420333.7549133</v>
      </c>
      <c r="H89" s="21">
        <f t="shared" ref="H89:M89" si="236">H47-(H48-H83)</f>
        <v>11910421485</v>
      </c>
      <c r="I89" s="21">
        <f t="shared" si="236"/>
        <v>24253180893.309189</v>
      </c>
      <c r="J89" s="21">
        <f t="shared" si="236"/>
        <v>45650019132.422653</v>
      </c>
      <c r="K89" s="21">
        <f t="shared" si="236"/>
        <v>61003414050.11528</v>
      </c>
      <c r="L89" s="21">
        <f t="shared" si="236"/>
        <v>77897131614.726135</v>
      </c>
      <c r="M89" s="21">
        <f t="shared" si="236"/>
        <v>96710911791.164764</v>
      </c>
      <c r="N89" s="21">
        <f t="shared" ref="N89:R89" si="237">N47-(N48-N83)</f>
        <v>120009824480.81363</v>
      </c>
      <c r="O89" s="21">
        <f t="shared" si="237"/>
        <v>138894772005.4151</v>
      </c>
      <c r="P89" s="21">
        <f t="shared" si="237"/>
        <v>158119850681.04852</v>
      </c>
      <c r="Q89" s="21">
        <f t="shared" si="237"/>
        <v>176597615219.79858</v>
      </c>
      <c r="R89" s="21">
        <f t="shared" si="237"/>
        <v>194215688847.5892</v>
      </c>
      <c r="T89" s="44">
        <f t="shared" si="113"/>
        <v>-6.968815460177058E-2</v>
      </c>
      <c r="U89" s="44">
        <f t="shared" si="101"/>
        <v>8.9744346450475715E-2</v>
      </c>
      <c r="V89" s="44">
        <f t="shared" si="102"/>
        <v>0.11599351250980278</v>
      </c>
      <c r="W89" s="44">
        <f t="shared" si="103"/>
        <v>0.16198387139102419</v>
      </c>
      <c r="X89" s="44">
        <f t="shared" si="104"/>
        <v>0.16775948006550279</v>
      </c>
      <c r="Y89" s="44">
        <f t="shared" si="105"/>
        <v>0.17137368912017589</v>
      </c>
      <c r="Z89" s="44">
        <f t="shared" si="106"/>
        <v>0.17439677673996895</v>
      </c>
      <c r="AA89" s="44">
        <f t="shared" si="107"/>
        <v>0.18334830943915842</v>
      </c>
      <c r="AB89" s="44">
        <f t="shared" si="108"/>
        <v>0.18407736115918802</v>
      </c>
      <c r="AC89" s="44">
        <f t="shared" si="109"/>
        <v>0.18405487513930993</v>
      </c>
      <c r="AD89" s="44">
        <f t="shared" si="110"/>
        <v>0.18326161069622821</v>
      </c>
      <c r="AE89" s="44">
        <f t="shared" si="111"/>
        <v>0.18181892825392618</v>
      </c>
    </row>
    <row r="90" spans="3:31" x14ac:dyDescent="0.25">
      <c r="C90" s="18" t="s">
        <v>13</v>
      </c>
      <c r="D90" s="25"/>
      <c r="E90" s="25"/>
      <c r="G90" s="21">
        <f t="shared" ref="G90:M90" si="238">G47-G48</f>
        <v>-8060472327.7549133</v>
      </c>
      <c r="H90" s="21">
        <f t="shared" si="238"/>
        <v>7736778463</v>
      </c>
      <c r="I90" s="21">
        <f t="shared" si="238"/>
        <v>20065005532.309189</v>
      </c>
      <c r="J90" s="21">
        <f t="shared" si="238"/>
        <v>14025777104.755981</v>
      </c>
      <c r="K90" s="21">
        <f t="shared" si="238"/>
        <v>36437770247.448608</v>
      </c>
      <c r="L90" s="21">
        <f t="shared" si="238"/>
        <v>53585169815.606689</v>
      </c>
      <c r="M90" s="21">
        <f t="shared" si="238"/>
        <v>79148972950.426544</v>
      </c>
      <c r="N90" s="21">
        <f t="shared" ref="N90:R90" si="239">N47-N48</f>
        <v>107050210534.88849</v>
      </c>
      <c r="O90" s="21">
        <f t="shared" si="239"/>
        <v>129016305800.78946</v>
      </c>
      <c r="P90" s="21">
        <f t="shared" si="239"/>
        <v>150524514952.72583</v>
      </c>
      <c r="Q90" s="21">
        <f t="shared" si="239"/>
        <v>170694079174.41635</v>
      </c>
      <c r="R90" s="21">
        <f t="shared" si="239"/>
        <v>189565776367.26587</v>
      </c>
      <c r="T90" s="44">
        <f t="shared" si="113"/>
        <v>-0.11616765512992715</v>
      </c>
      <c r="U90" s="44">
        <f t="shared" si="101"/>
        <v>5.8296184368327668E-2</v>
      </c>
      <c r="V90" s="44">
        <f t="shared" si="102"/>
        <v>9.5963101931229103E-2</v>
      </c>
      <c r="W90" s="44">
        <f t="shared" si="103"/>
        <v>4.9768865772113681E-2</v>
      </c>
      <c r="X90" s="44">
        <f t="shared" si="104"/>
        <v>0.10020392279088638</v>
      </c>
      <c r="Y90" s="44">
        <f t="shared" si="105"/>
        <v>0.11788737329701095</v>
      </c>
      <c r="Z90" s="44">
        <f t="shared" si="106"/>
        <v>0.14272769751814512</v>
      </c>
      <c r="AA90" s="44">
        <f t="shared" si="107"/>
        <v>0.16354890286349599</v>
      </c>
      <c r="AB90" s="44">
        <f t="shared" si="108"/>
        <v>0.17098542137633707</v>
      </c>
      <c r="AC90" s="44">
        <f t="shared" si="109"/>
        <v>0.17521374252315622</v>
      </c>
      <c r="AD90" s="44">
        <f t="shared" si="110"/>
        <v>0.17713530189452986</v>
      </c>
      <c r="AE90" s="44">
        <f t="shared" si="111"/>
        <v>0.17746581904496622</v>
      </c>
    </row>
    <row r="91" spans="3:31" x14ac:dyDescent="0.25">
      <c r="C91" s="18" t="s">
        <v>14</v>
      </c>
      <c r="D91" s="26">
        <v>2.4E-2</v>
      </c>
      <c r="E91" s="26" t="s">
        <v>108</v>
      </c>
      <c r="G91" s="21">
        <v>1899707933</v>
      </c>
      <c r="H91" s="21">
        <v>2847993021</v>
      </c>
      <c r="I91" s="21">
        <f>($D91+0.05%)*I$45</f>
        <v>5122725564.8099995</v>
      </c>
      <c r="J91" s="21">
        <f>($D91+0.1%)*J$45</f>
        <v>7045457479.8723145</v>
      </c>
      <c r="K91" s="21">
        <f>($D91+0.15%)*K$45</f>
        <v>9272722219.1589451</v>
      </c>
      <c r="L91" s="21">
        <f>($D91+0.2%)*L$45</f>
        <v>11818181847.988457</v>
      </c>
      <c r="M91" s="21">
        <f>($D91+0.25%)*M$45</f>
        <v>14695450285.111286</v>
      </c>
      <c r="N91" s="21">
        <f t="shared" ref="N91:R91" si="240">($D91+0.25%)*N$45</f>
        <v>17345457716.352089</v>
      </c>
      <c r="O91" s="21">
        <f t="shared" si="240"/>
        <v>19995459707.619682</v>
      </c>
      <c r="P91" s="21">
        <f t="shared" si="240"/>
        <v>22765906308.519505</v>
      </c>
      <c r="Q91" s="21">
        <f t="shared" si="240"/>
        <v>25536372759.933296</v>
      </c>
      <c r="R91" s="21">
        <f t="shared" si="240"/>
        <v>28306820438.811909</v>
      </c>
      <c r="T91" s="44">
        <f t="shared" si="113"/>
        <v>2.7378620884093791E-2</v>
      </c>
      <c r="U91" s="44">
        <f t="shared" si="101"/>
        <v>2.1459464947319703E-2</v>
      </c>
      <c r="V91" s="44">
        <f t="shared" si="102"/>
        <v>2.4500000000000001E-2</v>
      </c>
      <c r="W91" s="44">
        <f t="shared" si="103"/>
        <v>2.5000000000000001E-2</v>
      </c>
      <c r="X91" s="44">
        <f t="shared" si="104"/>
        <v>2.5500000000000002E-2</v>
      </c>
      <c r="Y91" s="44">
        <f t="shared" si="105"/>
        <v>2.6000000000000002E-2</v>
      </c>
      <c r="Z91" s="44">
        <f t="shared" si="106"/>
        <v>2.6499999999999999E-2</v>
      </c>
      <c r="AA91" s="44">
        <f t="shared" si="107"/>
        <v>2.6499999999999996E-2</v>
      </c>
      <c r="AB91" s="44">
        <f t="shared" si="108"/>
        <v>2.6500000000000003E-2</v>
      </c>
      <c r="AC91" s="44">
        <f t="shared" si="109"/>
        <v>2.6499999999999999E-2</v>
      </c>
      <c r="AD91" s="44">
        <f t="shared" si="110"/>
        <v>2.6499999999999999E-2</v>
      </c>
      <c r="AE91" s="44">
        <f t="shared" si="111"/>
        <v>2.6499999999999999E-2</v>
      </c>
    </row>
    <row r="92" spans="3:31" x14ac:dyDescent="0.25">
      <c r="C92" s="27" t="s">
        <v>15</v>
      </c>
      <c r="D92" s="28"/>
      <c r="E92" s="28"/>
      <c r="G92" s="29">
        <f>G90-G91</f>
        <v>-9960180260.7549133</v>
      </c>
      <c r="H92" s="29">
        <f t="shared" ref="H92:M92" si="241">H90-H91</f>
        <v>4888785442</v>
      </c>
      <c r="I92" s="29">
        <f t="shared" si="241"/>
        <v>14942279967.499189</v>
      </c>
      <c r="J92" s="29">
        <f t="shared" si="241"/>
        <v>6980319624.883667</v>
      </c>
      <c r="K92" s="29">
        <f t="shared" si="241"/>
        <v>27165048028.289665</v>
      </c>
      <c r="L92" s="29">
        <f t="shared" si="241"/>
        <v>41766987967.618233</v>
      </c>
      <c r="M92" s="29">
        <f t="shared" si="241"/>
        <v>64453522665.315262</v>
      </c>
      <c r="N92" s="29">
        <f t="shared" ref="N92:R92" si="242">N90-N91</f>
        <v>89704752818.536407</v>
      </c>
      <c r="O92" s="29">
        <f t="shared" si="242"/>
        <v>109020846093.16977</v>
      </c>
      <c r="P92" s="29">
        <f t="shared" si="242"/>
        <v>127758608644.20633</v>
      </c>
      <c r="Q92" s="29">
        <f t="shared" si="242"/>
        <v>145157706414.48306</v>
      </c>
      <c r="R92" s="29">
        <f t="shared" si="242"/>
        <v>161258955928.45395</v>
      </c>
      <c r="T92" s="49">
        <f t="shared" si="113"/>
        <v>-0.14354627601402092</v>
      </c>
      <c r="U92" s="49">
        <f t="shared" si="101"/>
        <v>3.6836719421007968E-2</v>
      </c>
      <c r="V92" s="49">
        <f t="shared" si="102"/>
        <v>7.1463101931229095E-2</v>
      </c>
      <c r="W92" s="49">
        <f t="shared" si="103"/>
        <v>2.476886577211368E-2</v>
      </c>
      <c r="X92" s="49">
        <f t="shared" si="104"/>
        <v>7.470392279088639E-2</v>
      </c>
      <c r="Y92" s="49">
        <f t="shared" si="105"/>
        <v>9.1887373297010952E-2</v>
      </c>
      <c r="Z92" s="49">
        <f t="shared" si="106"/>
        <v>0.11622769751814514</v>
      </c>
      <c r="AA92" s="49">
        <f t="shared" si="107"/>
        <v>0.137048902863496</v>
      </c>
      <c r="AB92" s="49">
        <f t="shared" si="108"/>
        <v>0.14448542137633705</v>
      </c>
      <c r="AC92" s="49">
        <f t="shared" si="109"/>
        <v>0.14871374252315622</v>
      </c>
      <c r="AD92" s="49">
        <f t="shared" si="110"/>
        <v>0.15063530189452987</v>
      </c>
      <c r="AE92" s="49">
        <f t="shared" si="111"/>
        <v>0.1509658190449662</v>
      </c>
    </row>
    <row r="93" spans="3:31" x14ac:dyDescent="0.25">
      <c r="V93" s="47"/>
      <c r="W93" s="47"/>
      <c r="X93" s="47"/>
      <c r="Y93" s="47"/>
      <c r="Z93" s="47"/>
      <c r="AA93" s="47"/>
      <c r="AB93" s="47"/>
      <c r="AC93" s="47"/>
      <c r="AD93" s="47"/>
      <c r="AE93" s="47"/>
    </row>
    <row r="94" spans="3:31" x14ac:dyDescent="0.25">
      <c r="C94" s="4" t="s">
        <v>106</v>
      </c>
      <c r="D94" s="4"/>
      <c r="E94" s="4"/>
      <c r="F94" s="4"/>
      <c r="G94" s="5">
        <f t="shared" ref="G94:I94" si="243">G84/12</f>
        <v>93431776.333333328</v>
      </c>
      <c r="H94" s="5">
        <f t="shared" si="243"/>
        <v>160054919.16666666</v>
      </c>
      <c r="I94" s="5">
        <f t="shared" si="243"/>
        <v>161265947.41666666</v>
      </c>
      <c r="J94" s="5">
        <f>J84/12</f>
        <v>2447604836.3055558</v>
      </c>
      <c r="K94" s="5">
        <f t="shared" ref="K94:R94" si="244">K84/12</f>
        <v>1859388317.5555556</v>
      </c>
      <c r="L94" s="5">
        <f t="shared" si="244"/>
        <v>1931116823.9766204</v>
      </c>
      <c r="M94" s="5">
        <f t="shared" si="244"/>
        <v>1463494903.3948517</v>
      </c>
      <c r="N94" s="5">
        <f t="shared" si="244"/>
        <v>1079967828.8270943</v>
      </c>
      <c r="O94" s="5">
        <f t="shared" si="244"/>
        <v>823205517.05213606</v>
      </c>
      <c r="P94" s="5">
        <f t="shared" si="244"/>
        <v>632944644.02689207</v>
      </c>
      <c r="Q94" s="5">
        <f t="shared" si="244"/>
        <v>491961337.11518621</v>
      </c>
      <c r="R94" s="5">
        <f t="shared" si="244"/>
        <v>387492706.69361228</v>
      </c>
    </row>
    <row r="99" spans="3:23" x14ac:dyDescent="0.25">
      <c r="J99" s="39"/>
    </row>
    <row r="100" spans="3:23" x14ac:dyDescent="0.25">
      <c r="C100" s="4" t="s">
        <v>37</v>
      </c>
      <c r="I100" s="40"/>
      <c r="J100" s="40"/>
      <c r="K100" s="40"/>
      <c r="L100" s="40"/>
    </row>
    <row r="102" spans="3:23" x14ac:dyDescent="0.25">
      <c r="C102" s="4" t="s">
        <v>104</v>
      </c>
      <c r="D102" s="4"/>
      <c r="E102" s="4"/>
      <c r="G102" s="5">
        <f t="shared" ref="G102:I102" si="245">G103+G104+G105</f>
        <v>0</v>
      </c>
      <c r="H102" s="5">
        <f t="shared" si="245"/>
        <v>0</v>
      </c>
      <c r="I102" s="5">
        <f t="shared" si="245"/>
        <v>0</v>
      </c>
      <c r="J102" s="5">
        <f>J103+J104+J105</f>
        <v>186230000000</v>
      </c>
      <c r="K102" s="5">
        <f t="shared" ref="K102:M102" si="246">K103+K104+K105</f>
        <v>0</v>
      </c>
      <c r="L102" s="5">
        <f t="shared" si="246"/>
        <v>0</v>
      </c>
      <c r="M102" s="5">
        <f t="shared" si="246"/>
        <v>0</v>
      </c>
      <c r="N102" s="5">
        <f t="shared" ref="N102:R102" si="247">N103+N104+N105</f>
        <v>0</v>
      </c>
      <c r="O102" s="5">
        <f t="shared" si="247"/>
        <v>0</v>
      </c>
      <c r="P102" s="5">
        <f t="shared" si="247"/>
        <v>0</v>
      </c>
      <c r="Q102" s="5">
        <f t="shared" si="247"/>
        <v>0</v>
      </c>
      <c r="R102" s="5">
        <f t="shared" si="247"/>
        <v>0</v>
      </c>
    </row>
    <row r="103" spans="3:23" x14ac:dyDescent="0.25">
      <c r="C103" s="7" t="s">
        <v>17</v>
      </c>
      <c r="E103" t="s">
        <v>23</v>
      </c>
      <c r="G103" s="3"/>
      <c r="H103" s="3"/>
      <c r="I103" s="3"/>
      <c r="J103" s="3">
        <v>15200000000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3:23" x14ac:dyDescent="0.25">
      <c r="C104" s="7" t="s">
        <v>80</v>
      </c>
      <c r="E104" t="s">
        <v>24</v>
      </c>
      <c r="G104" s="3"/>
      <c r="H104" s="3"/>
      <c r="I104" s="3"/>
      <c r="J104" s="3">
        <v>65805000000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3:23" x14ac:dyDescent="0.25">
      <c r="C105" s="7" t="s">
        <v>78</v>
      </c>
      <c r="E105" t="s">
        <v>25</v>
      </c>
      <c r="G105" s="3"/>
      <c r="H105" s="3"/>
      <c r="I105" s="3"/>
      <c r="J105" s="3">
        <v>105225000000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U105" s="3"/>
      <c r="W105" s="3"/>
    </row>
    <row r="106" spans="3:23" x14ac:dyDescent="0.25">
      <c r="C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U106" s="3"/>
      <c r="W106" s="3"/>
    </row>
    <row r="107" spans="3:23" x14ac:dyDescent="0.25">
      <c r="C107" s="4" t="s">
        <v>105</v>
      </c>
      <c r="D107" s="4"/>
      <c r="E107" s="4"/>
      <c r="G107" s="5">
        <f t="shared" ref="G107" si="248">G108+G109+G110</f>
        <v>0</v>
      </c>
      <c r="H107" s="5">
        <f t="shared" ref="H107" si="249">H108+H109+H110</f>
        <v>0</v>
      </c>
      <c r="I107" s="5">
        <f t="shared" ref="I107" si="250">I108+I109+I110</f>
        <v>0</v>
      </c>
      <c r="J107" s="5">
        <f>J108+J109+J110</f>
        <v>0</v>
      </c>
      <c r="K107" s="5">
        <f t="shared" ref="K107" si="251">K108+K109+K110</f>
        <v>0</v>
      </c>
      <c r="L107" s="5">
        <f t="shared" ref="L107" si="252">L108+L109+L110</f>
        <v>64825000000</v>
      </c>
      <c r="M107" s="5">
        <f t="shared" ref="M107:R107" si="253">M108+M109+M110</f>
        <v>0</v>
      </c>
      <c r="N107" s="5">
        <f t="shared" si="253"/>
        <v>0</v>
      </c>
      <c r="O107" s="5">
        <f t="shared" si="253"/>
        <v>0</v>
      </c>
      <c r="P107" s="5">
        <f t="shared" si="253"/>
        <v>0</v>
      </c>
      <c r="Q107" s="5">
        <f t="shared" si="253"/>
        <v>0</v>
      </c>
      <c r="R107" s="5">
        <f t="shared" si="253"/>
        <v>0</v>
      </c>
    </row>
    <row r="108" spans="3:23" x14ac:dyDescent="0.25">
      <c r="C108" s="7" t="s">
        <v>17</v>
      </c>
      <c r="E108" t="s">
        <v>23</v>
      </c>
      <c r="G108" s="3"/>
      <c r="H108" s="3"/>
      <c r="I108" s="3"/>
      <c r="J108" s="3"/>
      <c r="K108" s="3"/>
      <c r="L108" s="3">
        <v>7575000000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3:23" x14ac:dyDescent="0.25">
      <c r="C109" s="7" t="s">
        <v>80</v>
      </c>
      <c r="E109" t="s">
        <v>24</v>
      </c>
      <c r="G109" s="3"/>
      <c r="H109" s="3"/>
      <c r="I109" s="3"/>
      <c r="J109" s="3"/>
      <c r="K109" s="3"/>
      <c r="L109" s="3">
        <v>31375000000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3:23" x14ac:dyDescent="0.25">
      <c r="C110" s="7" t="s">
        <v>78</v>
      </c>
      <c r="E110" t="s">
        <v>25</v>
      </c>
      <c r="G110" s="3"/>
      <c r="H110" s="3"/>
      <c r="I110" s="3"/>
      <c r="J110" s="3"/>
      <c r="K110" s="3"/>
      <c r="L110" s="3">
        <v>25875000000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3:23" x14ac:dyDescent="0.25">
      <c r="C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3:23" x14ac:dyDescent="0.25">
      <c r="C112" s="8" t="s">
        <v>81</v>
      </c>
      <c r="D112" s="9"/>
      <c r="E112" s="9"/>
      <c r="G112" s="34">
        <f>G116+G113+G120</f>
        <v>1121181316</v>
      </c>
      <c r="H112" s="34">
        <f t="shared" ref="H112:M112" si="254">H116+H113+H120</f>
        <v>1920658369</v>
      </c>
      <c r="I112" s="34">
        <f t="shared" si="254"/>
        <v>1935191369</v>
      </c>
      <c r="J112" s="34">
        <f t="shared" si="254"/>
        <v>29371258035.666668</v>
      </c>
      <c r="K112" s="34">
        <f t="shared" si="254"/>
        <v>22312659810.666668</v>
      </c>
      <c r="L112" s="34">
        <f t="shared" si="254"/>
        <v>23173401887.719444</v>
      </c>
      <c r="M112" s="34">
        <f t="shared" si="254"/>
        <v>17561938840.73822</v>
      </c>
      <c r="N112" s="34">
        <f t="shared" ref="N112:R112" si="255">N116+N113+N120</f>
        <v>12959613945.925133</v>
      </c>
      <c r="O112" s="34">
        <f t="shared" si="255"/>
        <v>9878466204.6256332</v>
      </c>
      <c r="P112" s="34">
        <f t="shared" si="255"/>
        <v>7595335728.3227053</v>
      </c>
      <c r="Q112" s="34">
        <f t="shared" si="255"/>
        <v>5903536045.3822346</v>
      </c>
      <c r="R112" s="34">
        <f t="shared" si="255"/>
        <v>4649912480.3233471</v>
      </c>
    </row>
    <row r="113" spans="3:18" x14ac:dyDescent="0.25">
      <c r="C113" s="57" t="s">
        <v>123</v>
      </c>
      <c r="D113" s="4"/>
      <c r="E113" s="4"/>
      <c r="F113" s="4"/>
      <c r="G113" s="5">
        <f>G114+G115</f>
        <v>1121181316</v>
      </c>
      <c r="H113" s="5">
        <f t="shared" ref="H113:M113" si="256">H114+H115</f>
        <v>1920658369</v>
      </c>
      <c r="I113" s="5">
        <f t="shared" si="256"/>
        <v>1935191369</v>
      </c>
      <c r="J113" s="5">
        <f t="shared" si="256"/>
        <v>1935191369</v>
      </c>
      <c r="K113" s="5">
        <f t="shared" si="256"/>
        <v>1935191369</v>
      </c>
      <c r="L113" s="5">
        <f t="shared" si="256"/>
        <v>1237576953</v>
      </c>
      <c r="M113" s="5">
        <f t="shared" si="256"/>
        <v>1237576953</v>
      </c>
      <c r="N113" s="5">
        <f t="shared" ref="N113:R113" si="257">N114+N115</f>
        <v>793346176</v>
      </c>
      <c r="O113" s="5">
        <f t="shared" si="257"/>
        <v>793346176</v>
      </c>
      <c r="P113" s="5">
        <f t="shared" si="257"/>
        <v>793346176</v>
      </c>
      <c r="Q113" s="5">
        <f t="shared" si="257"/>
        <v>793346176</v>
      </c>
      <c r="R113" s="5">
        <f t="shared" si="257"/>
        <v>793346176</v>
      </c>
    </row>
    <row r="114" spans="3:18" x14ac:dyDescent="0.25">
      <c r="C114" s="48" t="s">
        <v>84</v>
      </c>
      <c r="D114" s="6"/>
      <c r="G114" s="3">
        <v>485624997</v>
      </c>
      <c r="H114" s="3">
        <v>491755874</v>
      </c>
      <c r="I114" s="3">
        <v>444230777</v>
      </c>
      <c r="J114" s="3">
        <f>I114</f>
        <v>444230777</v>
      </c>
      <c r="K114" s="3">
        <f>J114</f>
        <v>444230777</v>
      </c>
      <c r="L114" s="3">
        <f t="shared" ref="L114:M114" si="258">K114</f>
        <v>444230777</v>
      </c>
      <c r="M114" s="3">
        <f t="shared" si="258"/>
        <v>444230777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</row>
    <row r="115" spans="3:18" x14ac:dyDescent="0.25">
      <c r="C115" s="48" t="s">
        <v>87</v>
      </c>
      <c r="D115" s="6"/>
      <c r="G115" s="3">
        <v>635556319</v>
      </c>
      <c r="H115" s="3">
        <v>1428902495</v>
      </c>
      <c r="I115" s="3">
        <v>1490960592</v>
      </c>
      <c r="J115" s="3">
        <f>I115</f>
        <v>1490960592</v>
      </c>
      <c r="K115" s="3">
        <f>J115</f>
        <v>1490960592</v>
      </c>
      <c r="L115" s="3">
        <v>793346176</v>
      </c>
      <c r="M115" s="3">
        <v>793346176</v>
      </c>
      <c r="N115" s="3">
        <v>793346176</v>
      </c>
      <c r="O115" s="3">
        <v>793346176</v>
      </c>
      <c r="P115" s="3">
        <v>793346176</v>
      </c>
      <c r="Q115" s="3">
        <v>793346176</v>
      </c>
      <c r="R115" s="3">
        <v>793346176</v>
      </c>
    </row>
    <row r="116" spans="3:18" x14ac:dyDescent="0.25">
      <c r="C116" s="57" t="s">
        <v>82</v>
      </c>
      <c r="D116" s="4"/>
      <c r="E116" s="4"/>
      <c r="F116" s="4"/>
      <c r="G116" s="5">
        <f>G117+G118+G119</f>
        <v>0</v>
      </c>
      <c r="H116" s="5">
        <f t="shared" ref="H116:M116" si="259">H117+H118+H119</f>
        <v>0</v>
      </c>
      <c r="I116" s="5">
        <f t="shared" si="259"/>
        <v>0</v>
      </c>
      <c r="J116" s="5">
        <f t="shared" si="259"/>
        <v>27436066666.666668</v>
      </c>
      <c r="K116" s="5">
        <f t="shared" si="259"/>
        <v>20377468441.666668</v>
      </c>
      <c r="L116" s="5">
        <f t="shared" si="259"/>
        <v>15147047156.941666</v>
      </c>
      <c r="M116" s="5">
        <f t="shared" si="259"/>
        <v>11271304984.960442</v>
      </c>
      <c r="N116" s="5">
        <f t="shared" ref="N116:R116" si="260">N117+N118+N119</f>
        <v>8399380035.5223532</v>
      </c>
      <c r="O116" s="5">
        <f t="shared" si="260"/>
        <v>6271283647.9887304</v>
      </c>
      <c r="P116" s="5">
        <f t="shared" si="260"/>
        <v>4694364224.8263159</v>
      </c>
      <c r="Q116" s="5">
        <f t="shared" si="260"/>
        <v>3525866932.2629666</v>
      </c>
      <c r="R116" s="5">
        <f t="shared" si="260"/>
        <v>2660010438.473525</v>
      </c>
    </row>
    <row r="117" spans="3:18" x14ac:dyDescent="0.25">
      <c r="C117" s="48" t="s">
        <v>83</v>
      </c>
      <c r="E117" t="s">
        <v>23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3:18" x14ac:dyDescent="0.25">
      <c r="C118" s="48" t="s">
        <v>80</v>
      </c>
      <c r="D118" s="89">
        <f>30*12</f>
        <v>360</v>
      </c>
      <c r="E118" t="s">
        <v>24</v>
      </c>
      <c r="G118" s="3">
        <f>$G$104/$D118</f>
        <v>0</v>
      </c>
      <c r="H118" s="3">
        <f>$G$104/$D118+$H$104/$D118</f>
        <v>0</v>
      </c>
      <c r="I118" s="3">
        <f>$G$104/$D118+$H$104/$D118+$I$104/$D118</f>
        <v>0</v>
      </c>
      <c r="J118" s="3">
        <f>J104/360</f>
        <v>182791666.66666666</v>
      </c>
      <c r="K118" s="3">
        <f t="shared" ref="K118:M118" si="261">J118</f>
        <v>182791666.66666666</v>
      </c>
      <c r="L118" s="3">
        <f t="shared" si="261"/>
        <v>182791666.66666666</v>
      </c>
      <c r="M118" s="3">
        <f t="shared" si="261"/>
        <v>182791666.66666666</v>
      </c>
      <c r="N118" s="3">
        <f t="shared" ref="N118" si="262">M118</f>
        <v>182791666.66666666</v>
      </c>
      <c r="O118" s="3">
        <f t="shared" ref="O118" si="263">N118</f>
        <v>182791666.66666666</v>
      </c>
      <c r="P118" s="3">
        <f t="shared" ref="P118" si="264">O118</f>
        <v>182791666.66666666</v>
      </c>
      <c r="Q118" s="3">
        <f t="shared" ref="Q118" si="265">P118</f>
        <v>182791666.66666666</v>
      </c>
      <c r="R118" s="3">
        <f t="shared" ref="R118" si="266">Q118</f>
        <v>182791666.66666666</v>
      </c>
    </row>
    <row r="119" spans="3:18" x14ac:dyDescent="0.25">
      <c r="C119" s="48" t="s">
        <v>79</v>
      </c>
      <c r="D119" s="6">
        <v>0.25900000000000001</v>
      </c>
      <c r="E119" t="s">
        <v>25</v>
      </c>
      <c r="G119" s="3">
        <v>0</v>
      </c>
      <c r="H119" s="3">
        <v>0</v>
      </c>
      <c r="I119" s="3">
        <v>0</v>
      </c>
      <c r="J119" s="3">
        <f>J105*$D119</f>
        <v>27253275000</v>
      </c>
      <c r="K119" s="3">
        <f>($J$105-J119)*$D119</f>
        <v>20194676775</v>
      </c>
      <c r="L119" s="3">
        <f>($J$105-J119-K119)*$D119</f>
        <v>14964255490.275</v>
      </c>
      <c r="M119" s="3">
        <f>($J$105-J119-K119-L119)*$D119</f>
        <v>11088513318.293776</v>
      </c>
      <c r="N119" s="3">
        <f>($J$105-J119-K119-L119-M119)*$D119</f>
        <v>8216588368.8556862</v>
      </c>
      <c r="O119" s="3">
        <f>($J$105-J119-K119-L119-M119-N119)*$D119</f>
        <v>6088491981.3220634</v>
      </c>
      <c r="P119" s="3">
        <f>($J$105-J119-K119-L119-M119-N119-O119)*$D119</f>
        <v>4511572558.1596489</v>
      </c>
      <c r="Q119" s="3">
        <f>($J$105-J119-K119-L119-M119-N119-O119-P119)*$D119</f>
        <v>3343075265.5963001</v>
      </c>
      <c r="R119" s="3">
        <f>($J$105-J119-K119-L119-M119-N119-O119-P119-Q119)*$D119</f>
        <v>2477218771.8068585</v>
      </c>
    </row>
    <row r="120" spans="3:18" x14ac:dyDescent="0.25">
      <c r="C120" s="57" t="s">
        <v>103</v>
      </c>
      <c r="D120" s="4"/>
      <c r="E120" s="4"/>
      <c r="F120" s="4"/>
      <c r="G120" s="5">
        <f>G121+G122+G123</f>
        <v>0</v>
      </c>
      <c r="H120" s="5">
        <f t="shared" ref="H120" si="267">H121+H122+H123</f>
        <v>0</v>
      </c>
      <c r="I120" s="5">
        <f t="shared" ref="I120" si="268">I121+I122+I123</f>
        <v>0</v>
      </c>
      <c r="J120" s="5">
        <f t="shared" ref="J120" si="269">J121+J122+J123</f>
        <v>0</v>
      </c>
      <c r="K120" s="5">
        <f t="shared" ref="K120" si="270">K121+K122+K123</f>
        <v>0</v>
      </c>
      <c r="L120" s="5">
        <f t="shared" ref="L120" si="271">L121+L122+L123</f>
        <v>6788777777.7777777</v>
      </c>
      <c r="M120" s="5">
        <f t="shared" ref="M120:R120" si="272">M121+M122+M123</f>
        <v>5053056902.7777777</v>
      </c>
      <c r="N120" s="5">
        <f t="shared" si="272"/>
        <v>3766887734.4027777</v>
      </c>
      <c r="O120" s="5">
        <f t="shared" si="272"/>
        <v>2813836380.6369028</v>
      </c>
      <c r="P120" s="5">
        <f t="shared" si="272"/>
        <v>2107625327.4963894</v>
      </c>
      <c r="Q120" s="5">
        <f t="shared" si="272"/>
        <v>1584322937.1192689</v>
      </c>
      <c r="R120" s="5">
        <f t="shared" si="272"/>
        <v>1196555865.8498225</v>
      </c>
    </row>
    <row r="121" spans="3:18" x14ac:dyDescent="0.25">
      <c r="C121" s="48" t="s">
        <v>83</v>
      </c>
      <c r="E121" t="s">
        <v>23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3:18" x14ac:dyDescent="0.25">
      <c r="C122" s="48" t="s">
        <v>80</v>
      </c>
      <c r="D122" s="30">
        <f>30*12</f>
        <v>360</v>
      </c>
      <c r="E122" t="s">
        <v>24</v>
      </c>
      <c r="G122" s="3">
        <f>$G$104/$D122</f>
        <v>0</v>
      </c>
      <c r="H122" s="3">
        <f>$G$104/$D122+$H$104/$D122</f>
        <v>0</v>
      </c>
      <c r="I122" s="3">
        <f>$G$104/$D122+$H$104/$D122+$I$104/$D122</f>
        <v>0</v>
      </c>
      <c r="J122" s="3">
        <f t="shared" ref="J122:K122" si="273">$G$104/$D122+$H$104/$D122+$I$104/$D122</f>
        <v>0</v>
      </c>
      <c r="K122" s="3">
        <f t="shared" si="273"/>
        <v>0</v>
      </c>
      <c r="L122" s="3">
        <f>L109/360</f>
        <v>87152777.777777776</v>
      </c>
      <c r="M122" s="3">
        <f>L122</f>
        <v>87152777.777777776</v>
      </c>
      <c r="N122" s="3">
        <f t="shared" ref="N122:R122" si="274">M122</f>
        <v>87152777.777777776</v>
      </c>
      <c r="O122" s="3">
        <f t="shared" si="274"/>
        <v>87152777.777777776</v>
      </c>
      <c r="P122" s="3">
        <f t="shared" si="274"/>
        <v>87152777.777777776</v>
      </c>
      <c r="Q122" s="3">
        <f t="shared" si="274"/>
        <v>87152777.777777776</v>
      </c>
      <c r="R122" s="3">
        <f t="shared" si="274"/>
        <v>87152777.777777776</v>
      </c>
    </row>
    <row r="123" spans="3:18" x14ac:dyDescent="0.25">
      <c r="C123" s="48" t="s">
        <v>79</v>
      </c>
      <c r="D123" s="6">
        <v>0.25900000000000001</v>
      </c>
      <c r="E123" t="s">
        <v>25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f>$D123*$L$110</f>
        <v>6701625000</v>
      </c>
      <c r="M123" s="3">
        <f>($L$110-L123)*$D123</f>
        <v>4965904125</v>
      </c>
      <c r="N123" s="3">
        <f>($L$110-L123-M123)*$D123</f>
        <v>3679734956.625</v>
      </c>
      <c r="O123" s="3">
        <f>($L$110-L123-M123-N123)*$D123</f>
        <v>2726683602.8591251</v>
      </c>
      <c r="P123" s="3">
        <f>($L$110-L123-M123-N123-O123)*$D123</f>
        <v>2020472549.7186117</v>
      </c>
      <c r="Q123" s="3">
        <f>($L$110-L123-M123-N123-O123-P123)*$D123</f>
        <v>1497170159.3414912</v>
      </c>
      <c r="R123" s="3">
        <f>($L$110-L123-M123-N123-O123-P123-Q123)*$D123</f>
        <v>1109403088.0720448</v>
      </c>
    </row>
    <row r="124" spans="3:18" x14ac:dyDescent="0.25">
      <c r="C124" s="48"/>
      <c r="D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3:18" x14ac:dyDescent="0.25">
      <c r="C125" s="48"/>
      <c r="D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3:18" x14ac:dyDescent="0.25">
      <c r="C126" s="8" t="s">
        <v>85</v>
      </c>
      <c r="D126" s="9"/>
      <c r="E126" s="9"/>
      <c r="G126" s="34">
        <f>G127</f>
        <v>2103870678</v>
      </c>
      <c r="H126" s="34">
        <f t="shared" ref="H126:R126" si="275">H127</f>
        <v>2252983992</v>
      </c>
      <c r="I126" s="34">
        <f t="shared" si="275"/>
        <v>2252983992</v>
      </c>
      <c r="J126" s="34">
        <f t="shared" si="275"/>
        <v>2252983992</v>
      </c>
      <c r="K126" s="34">
        <f t="shared" si="275"/>
        <v>2252983992</v>
      </c>
      <c r="L126" s="34">
        <f t="shared" si="275"/>
        <v>1138559911.4000001</v>
      </c>
      <c r="M126" s="34">
        <f t="shared" si="275"/>
        <v>0</v>
      </c>
      <c r="N126" s="34">
        <f t="shared" si="275"/>
        <v>0</v>
      </c>
      <c r="O126" s="34">
        <f t="shared" si="275"/>
        <v>0</v>
      </c>
      <c r="P126" s="34">
        <f t="shared" si="275"/>
        <v>0</v>
      </c>
      <c r="Q126" s="34">
        <f t="shared" si="275"/>
        <v>0</v>
      </c>
      <c r="R126" s="34">
        <f t="shared" si="275"/>
        <v>0</v>
      </c>
    </row>
    <row r="127" spans="3:18" x14ac:dyDescent="0.25">
      <c r="C127" s="7" t="s">
        <v>86</v>
      </c>
      <c r="D127" s="6"/>
      <c r="G127" s="3">
        <f>G128+G129</f>
        <v>2103870678</v>
      </c>
      <c r="H127" s="3">
        <f t="shared" ref="H127" si="276">H128+H129</f>
        <v>2252983992</v>
      </c>
      <c r="I127" s="3">
        <f t="shared" ref="I127" si="277">I128+I129</f>
        <v>2252983992</v>
      </c>
      <c r="J127" s="3">
        <f t="shared" ref="J127" si="278">J128+J129</f>
        <v>2252983992</v>
      </c>
      <c r="K127" s="3">
        <f t="shared" ref="K127" si="279">K128+K129</f>
        <v>2252983992</v>
      </c>
      <c r="L127" s="3">
        <f t="shared" ref="L127" si="280">L128+L129</f>
        <v>1138559911.4000001</v>
      </c>
      <c r="M127" s="3">
        <f t="shared" ref="M127:R127" si="281">M128+M129</f>
        <v>0</v>
      </c>
      <c r="N127" s="3">
        <f t="shared" si="281"/>
        <v>0</v>
      </c>
      <c r="O127" s="3">
        <f t="shared" si="281"/>
        <v>0</v>
      </c>
      <c r="P127" s="3">
        <f t="shared" si="281"/>
        <v>0</v>
      </c>
      <c r="Q127" s="3">
        <f t="shared" si="281"/>
        <v>0</v>
      </c>
      <c r="R127" s="3">
        <f t="shared" si="281"/>
        <v>0</v>
      </c>
    </row>
    <row r="128" spans="3:18" x14ac:dyDescent="0.25">
      <c r="C128" s="48" t="s">
        <v>88</v>
      </c>
      <c r="D128" s="6"/>
      <c r="G128" s="3">
        <v>1081399980</v>
      </c>
      <c r="H128" s="3">
        <v>1081399980</v>
      </c>
      <c r="I128" s="3">
        <v>1081399980</v>
      </c>
      <c r="J128" s="3">
        <v>1081399980</v>
      </c>
      <c r="K128" s="3">
        <v>1081399980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3:38" x14ac:dyDescent="0.25">
      <c r="C129" s="48" t="s">
        <v>89</v>
      </c>
      <c r="D129" s="6"/>
      <c r="G129" s="3">
        <v>1022470698</v>
      </c>
      <c r="H129" s="3">
        <v>1171584012</v>
      </c>
      <c r="I129" s="3">
        <v>1171584012</v>
      </c>
      <c r="J129" s="3">
        <v>1171584012</v>
      </c>
      <c r="K129" s="3">
        <v>1171584012</v>
      </c>
      <c r="L129" s="3">
        <v>1138559911.4000001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3:38" x14ac:dyDescent="0.25">
      <c r="C130" s="7"/>
      <c r="D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3:38" x14ac:dyDescent="0.25">
      <c r="C131" s="7"/>
      <c r="D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3:38" x14ac:dyDescent="0.25">
      <c r="C132" s="7"/>
      <c r="D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U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3:38" x14ac:dyDescent="0.25">
      <c r="C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U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3:38" x14ac:dyDescent="0.25">
      <c r="C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U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3:38" hidden="1" outlineLevel="1" x14ac:dyDescent="0.25">
      <c r="C135" s="35" t="s">
        <v>31</v>
      </c>
      <c r="D135" s="36"/>
      <c r="E135" s="36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U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3:38" hidden="1" outlineLevel="1" x14ac:dyDescent="0.25">
      <c r="C136" s="4" t="s">
        <v>27</v>
      </c>
      <c r="G136" s="5">
        <f>G137+G138+G139+G140</f>
        <v>6700000000</v>
      </c>
      <c r="H136" s="5">
        <f t="shared" ref="H136:M136" si="282">H137+H138+H139+H140</f>
        <v>58600000000</v>
      </c>
      <c r="I136" s="5">
        <f t="shared" si="282"/>
        <v>122000000000</v>
      </c>
      <c r="J136" s="5">
        <f t="shared" si="282"/>
        <v>203800000000</v>
      </c>
      <c r="K136" s="5">
        <f t="shared" si="282"/>
        <v>127500000000</v>
      </c>
      <c r="L136" s="5">
        <f t="shared" si="282"/>
        <v>0</v>
      </c>
      <c r="M136" s="5">
        <f t="shared" si="282"/>
        <v>0</v>
      </c>
      <c r="N136" s="5"/>
      <c r="O136" s="5"/>
      <c r="P136" s="5"/>
      <c r="Q136" s="5"/>
      <c r="R136" s="5"/>
    </row>
    <row r="137" spans="3:38" hidden="1" outlineLevel="1" x14ac:dyDescent="0.25">
      <c r="C137" s="7" t="s">
        <v>17</v>
      </c>
      <c r="E137" t="s">
        <v>23</v>
      </c>
      <c r="G137" s="3">
        <v>6700000000</v>
      </c>
      <c r="H137" s="3">
        <v>20200000000</v>
      </c>
      <c r="I137" s="3">
        <v>20200000000</v>
      </c>
      <c r="J137" s="3">
        <v>13500000000</v>
      </c>
      <c r="K137" s="3">
        <v>0</v>
      </c>
      <c r="L137" s="3">
        <v>0</v>
      </c>
      <c r="M137" s="3">
        <v>0</v>
      </c>
      <c r="N137" s="3"/>
      <c r="O137" s="3"/>
      <c r="P137" s="3"/>
      <c r="Q137" s="3"/>
      <c r="R137" s="3"/>
    </row>
    <row r="138" spans="3:38" hidden="1" outlineLevel="1" x14ac:dyDescent="0.25">
      <c r="C138" s="7" t="s">
        <v>18</v>
      </c>
      <c r="E138" t="s">
        <v>24</v>
      </c>
      <c r="G138" s="3">
        <v>0</v>
      </c>
      <c r="H138" s="3">
        <v>1900000000</v>
      </c>
      <c r="I138" s="3">
        <v>27300000000</v>
      </c>
      <c r="J138" s="3">
        <v>135800000000</v>
      </c>
      <c r="K138" s="3">
        <v>86000000000</v>
      </c>
      <c r="L138" s="3">
        <v>0</v>
      </c>
      <c r="M138" s="3">
        <v>0</v>
      </c>
      <c r="N138" s="3"/>
      <c r="O138" s="3"/>
      <c r="P138" s="3"/>
      <c r="Q138" s="3"/>
      <c r="R138" s="3"/>
    </row>
    <row r="139" spans="3:38" hidden="1" outlineLevel="1" x14ac:dyDescent="0.25">
      <c r="C139" s="7" t="s">
        <v>32</v>
      </c>
      <c r="E139" t="s">
        <v>25</v>
      </c>
      <c r="G139" s="3">
        <v>0</v>
      </c>
      <c r="H139" s="3">
        <v>36500000000</v>
      </c>
      <c r="I139" s="3">
        <v>74500000000</v>
      </c>
      <c r="J139" s="3">
        <v>54500000000</v>
      </c>
      <c r="K139" s="3">
        <v>34500000000</v>
      </c>
      <c r="L139" s="3">
        <v>0</v>
      </c>
      <c r="M139" s="3">
        <v>0</v>
      </c>
      <c r="N139" s="3"/>
      <c r="O139" s="3"/>
      <c r="P139" s="3"/>
      <c r="Q139" s="3"/>
      <c r="R139" s="3"/>
    </row>
    <row r="140" spans="3:38" hidden="1" outlineLevel="1" x14ac:dyDescent="0.25">
      <c r="C140" s="7" t="s">
        <v>19</v>
      </c>
      <c r="E140" t="s">
        <v>26</v>
      </c>
      <c r="G140" s="3">
        <v>0</v>
      </c>
      <c r="H140" s="3">
        <v>0</v>
      </c>
      <c r="I140" s="3">
        <v>0</v>
      </c>
      <c r="J140" s="3">
        <v>0</v>
      </c>
      <c r="K140" s="3">
        <v>7000000000</v>
      </c>
      <c r="L140" s="3">
        <v>0</v>
      </c>
      <c r="M140" s="3">
        <v>0</v>
      </c>
      <c r="N140" s="3"/>
      <c r="O140" s="3"/>
      <c r="P140" s="3"/>
      <c r="Q140" s="3"/>
      <c r="R140" s="3"/>
    </row>
    <row r="141" spans="3:38" hidden="1" outlineLevel="1" x14ac:dyDescent="0.25">
      <c r="C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3:38" hidden="1" outlineLevel="1" x14ac:dyDescent="0.25">
      <c r="C142" s="4" t="s">
        <v>33</v>
      </c>
      <c r="D142" s="6">
        <f>5/40</f>
        <v>0.125</v>
      </c>
      <c r="E142" t="s">
        <v>34</v>
      </c>
      <c r="G142" s="5">
        <f>G143+G144+G145+G146</f>
        <v>837500000</v>
      </c>
      <c r="H142" s="5">
        <f t="shared" ref="H142" si="283">H143+H144+H145+H146</f>
        <v>7325000000</v>
      </c>
      <c r="I142" s="5">
        <f t="shared" ref="I142" si="284">I143+I144+I145+I146</f>
        <v>15250000000</v>
      </c>
      <c r="J142" s="5">
        <f t="shared" ref="J142" si="285">J143+J144+J145+J146</f>
        <v>25475000000</v>
      </c>
      <c r="K142" s="5">
        <f t="shared" ref="K142" si="286">K143+K144+K145+K146</f>
        <v>15937500000</v>
      </c>
      <c r="L142" s="5">
        <f t="shared" ref="L142" si="287">L143+L144+L145+L146</f>
        <v>0</v>
      </c>
      <c r="M142" s="5">
        <f t="shared" ref="M142" si="288">M143+M144+M145+M146</f>
        <v>0</v>
      </c>
      <c r="N142" s="5"/>
      <c r="O142" s="5"/>
      <c r="P142" s="5"/>
      <c r="Q142" s="5"/>
      <c r="R142" s="5"/>
    </row>
    <row r="143" spans="3:38" hidden="1" outlineLevel="1" x14ac:dyDescent="0.25">
      <c r="C143" s="7" t="s">
        <v>17</v>
      </c>
      <c r="E143" t="s">
        <v>23</v>
      </c>
      <c r="G143" s="3">
        <f>G137*$D$142</f>
        <v>837500000</v>
      </c>
      <c r="H143" s="3">
        <f t="shared" ref="H143:M143" si="289">H137*$D$142</f>
        <v>2525000000</v>
      </c>
      <c r="I143" s="3">
        <f t="shared" si="289"/>
        <v>2525000000</v>
      </c>
      <c r="J143" s="3">
        <f t="shared" si="289"/>
        <v>1687500000</v>
      </c>
      <c r="K143" s="3">
        <f t="shared" si="289"/>
        <v>0</v>
      </c>
      <c r="L143" s="3">
        <f t="shared" si="289"/>
        <v>0</v>
      </c>
      <c r="M143" s="3">
        <f t="shared" si="289"/>
        <v>0</v>
      </c>
      <c r="N143" s="3"/>
      <c r="O143" s="3"/>
      <c r="P143" s="3"/>
      <c r="Q143" s="3"/>
      <c r="R143" s="3"/>
      <c r="U143" s="3"/>
    </row>
    <row r="144" spans="3:38" hidden="1" outlineLevel="1" x14ac:dyDescent="0.25">
      <c r="C144" s="7" t="s">
        <v>18</v>
      </c>
      <c r="E144" t="s">
        <v>24</v>
      </c>
      <c r="G144" s="3">
        <f t="shared" ref="G144:M144" si="290">G138*$D$142</f>
        <v>0</v>
      </c>
      <c r="H144" s="3">
        <f t="shared" si="290"/>
        <v>237500000</v>
      </c>
      <c r="I144" s="3">
        <f t="shared" si="290"/>
        <v>3412500000</v>
      </c>
      <c r="J144" s="3">
        <f t="shared" si="290"/>
        <v>16975000000</v>
      </c>
      <c r="K144" s="3">
        <f t="shared" si="290"/>
        <v>10750000000</v>
      </c>
      <c r="L144" s="3">
        <f t="shared" si="290"/>
        <v>0</v>
      </c>
      <c r="M144" s="3">
        <f t="shared" si="290"/>
        <v>0</v>
      </c>
      <c r="N144" s="3"/>
      <c r="O144" s="3"/>
      <c r="P144" s="3"/>
      <c r="Q144" s="3"/>
      <c r="R144" s="3"/>
      <c r="U144" s="3"/>
    </row>
    <row r="145" spans="3:21" hidden="1" outlineLevel="1" x14ac:dyDescent="0.25">
      <c r="C145" s="7" t="s">
        <v>32</v>
      </c>
      <c r="E145" t="s">
        <v>25</v>
      </c>
      <c r="G145" s="3">
        <f t="shared" ref="G145:M145" si="291">G139*$D$142</f>
        <v>0</v>
      </c>
      <c r="H145" s="3">
        <f t="shared" si="291"/>
        <v>4562500000</v>
      </c>
      <c r="I145" s="3">
        <f t="shared" si="291"/>
        <v>9312500000</v>
      </c>
      <c r="J145" s="3">
        <f t="shared" si="291"/>
        <v>6812500000</v>
      </c>
      <c r="K145" s="3">
        <f t="shared" si="291"/>
        <v>4312500000</v>
      </c>
      <c r="L145" s="3">
        <f t="shared" si="291"/>
        <v>0</v>
      </c>
      <c r="M145" s="3">
        <f t="shared" si="291"/>
        <v>0</v>
      </c>
      <c r="N145" s="3"/>
      <c r="O145" s="3"/>
      <c r="P145" s="3"/>
      <c r="Q145" s="3"/>
      <c r="R145" s="3"/>
      <c r="T145" s="3"/>
      <c r="U145" s="3"/>
    </row>
    <row r="146" spans="3:21" hidden="1" outlineLevel="1" x14ac:dyDescent="0.25">
      <c r="C146" s="7" t="s">
        <v>19</v>
      </c>
      <c r="E146" t="s">
        <v>26</v>
      </c>
      <c r="G146" s="3">
        <f t="shared" ref="G146:M146" si="292">G140*$D$142</f>
        <v>0</v>
      </c>
      <c r="H146" s="3">
        <f t="shared" si="292"/>
        <v>0</v>
      </c>
      <c r="I146" s="3">
        <f t="shared" si="292"/>
        <v>0</v>
      </c>
      <c r="J146" s="3">
        <f t="shared" si="292"/>
        <v>0</v>
      </c>
      <c r="K146" s="3">
        <f t="shared" si="292"/>
        <v>875000000</v>
      </c>
      <c r="L146" s="3">
        <f t="shared" si="292"/>
        <v>0</v>
      </c>
      <c r="M146" s="3">
        <f t="shared" si="292"/>
        <v>0</v>
      </c>
      <c r="N146" s="3"/>
      <c r="O146" s="3"/>
      <c r="P146" s="3"/>
      <c r="Q146" s="3"/>
      <c r="R146" s="3"/>
      <c r="T146" s="3"/>
    </row>
    <row r="147" spans="3:21" hidden="1" outlineLevel="1" x14ac:dyDescent="0.25">
      <c r="C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3:21" hidden="1" outlineLevel="1" x14ac:dyDescent="0.25">
      <c r="C148" s="8" t="s">
        <v>35</v>
      </c>
      <c r="D148" s="9"/>
      <c r="E148" s="9"/>
      <c r="G148" s="34">
        <f>G149+G150+G151+G156</f>
        <v>0</v>
      </c>
      <c r="H148" s="34">
        <f t="shared" ref="H148" si="293">H149+H150+H151+H156</f>
        <v>1182347222.2222223</v>
      </c>
      <c r="I148" s="34">
        <f t="shared" ref="I148" si="294">I149+I150+I151+I156</f>
        <v>3297706826.3888888</v>
      </c>
      <c r="J148" s="34">
        <f t="shared" ref="J148" si="295">J149+J150+J151+J156</f>
        <v>4257817008.3541665</v>
      </c>
      <c r="K148" s="34">
        <f t="shared" ref="K148" si="296">K149+K150+K151+K156</f>
        <v>4543304555.968215</v>
      </c>
      <c r="L148" s="34">
        <f t="shared" ref="L148" si="297">L149+L150+L151+L156</f>
        <v>3389161245.4168921</v>
      </c>
      <c r="M148" s="34">
        <f t="shared" ref="M148" si="298">M149+M150+M151+M156</f>
        <v>2533941052.2983613</v>
      </c>
      <c r="N148" s="34"/>
      <c r="O148" s="34"/>
      <c r="P148" s="34"/>
      <c r="Q148" s="34"/>
      <c r="R148" s="34"/>
    </row>
    <row r="149" spans="3:21" hidden="1" outlineLevel="1" x14ac:dyDescent="0.25">
      <c r="C149" s="7" t="s">
        <v>17</v>
      </c>
      <c r="E149" t="s">
        <v>23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/>
      <c r="O149" s="3"/>
      <c r="P149" s="3"/>
      <c r="Q149" s="3"/>
      <c r="R149" s="3"/>
    </row>
    <row r="150" spans="3:21" hidden="1" outlineLevel="1" x14ac:dyDescent="0.25">
      <c r="C150" s="7" t="s">
        <v>18</v>
      </c>
      <c r="D150" s="30">
        <f>30*12</f>
        <v>360</v>
      </c>
      <c r="E150" t="s">
        <v>24</v>
      </c>
      <c r="G150" s="3">
        <v>0</v>
      </c>
      <c r="H150" s="3">
        <f>$H$144/$D150</f>
        <v>659722.22222222225</v>
      </c>
      <c r="I150" s="3">
        <f>$H$144/$D150+$I$144/$D150</f>
        <v>10138888.888888888</v>
      </c>
      <c r="J150" s="3">
        <f>$H$144/$D150+$I$144/$D150+$J$144/$D150</f>
        <v>57291666.666666664</v>
      </c>
      <c r="K150" s="3">
        <f>$H$144/$D150+$I$144/$D150+$J$144/$D150+$K$144/$D150</f>
        <v>87152777.777777776</v>
      </c>
      <c r="L150" s="3">
        <f t="shared" ref="L150:M150" si="299">$H$144/$D150+$I$144/$D150+$J$144/$D150+$K$144/$D150</f>
        <v>87152777.777777776</v>
      </c>
      <c r="M150" s="3">
        <f t="shared" si="299"/>
        <v>87152777.777777776</v>
      </c>
      <c r="N150" s="3"/>
      <c r="O150" s="3"/>
      <c r="P150" s="3"/>
      <c r="Q150" s="3"/>
      <c r="R150" s="3"/>
    </row>
    <row r="151" spans="3:21" hidden="1" outlineLevel="1" x14ac:dyDescent="0.25">
      <c r="C151" s="7" t="s">
        <v>20</v>
      </c>
      <c r="D151" s="6">
        <v>0.25900000000000001</v>
      </c>
      <c r="E151" t="s">
        <v>25</v>
      </c>
      <c r="G151" s="3">
        <f>G152+G153+G154+G155</f>
        <v>0</v>
      </c>
      <c r="H151" s="3">
        <f t="shared" ref="H151" si="300">H152+H153+H154+H155</f>
        <v>1181687500</v>
      </c>
      <c r="I151" s="3">
        <f t="shared" ref="I151" si="301">I152+I153+I154+I155</f>
        <v>3287567937.5</v>
      </c>
      <c r="J151" s="3">
        <f t="shared" ref="J151" si="302">J152+J153+J154+J155</f>
        <v>4200525341.6875</v>
      </c>
      <c r="K151" s="3">
        <f t="shared" ref="K151" si="303">K152+K153+K154+K155</f>
        <v>4229526778.1904373</v>
      </c>
      <c r="L151" s="3">
        <f t="shared" ref="L151" si="304">L152+L153+L154+L155</f>
        <v>3134079342.6391144</v>
      </c>
      <c r="M151" s="3">
        <f t="shared" ref="M151" si="305">M152+M153+M154+M155</f>
        <v>2322352792.8955836</v>
      </c>
      <c r="N151" s="3"/>
      <c r="O151" s="3"/>
      <c r="P151" s="3"/>
      <c r="Q151" s="3"/>
      <c r="R151" s="3"/>
    </row>
    <row r="152" spans="3:21" hidden="1" outlineLevel="1" x14ac:dyDescent="0.25">
      <c r="C152" s="31" t="s">
        <v>28</v>
      </c>
      <c r="D152" s="32"/>
      <c r="E152" s="32"/>
      <c r="G152" s="33">
        <v>0</v>
      </c>
      <c r="H152" s="33">
        <f>$D$151*$H$145</f>
        <v>1181687500</v>
      </c>
      <c r="I152" s="33">
        <f>$D$151*($H$145-$H152)</f>
        <v>875630437.5</v>
      </c>
      <c r="J152" s="33">
        <f>$D$151*($H$145-$H152-$I152)</f>
        <v>648842154.1875</v>
      </c>
      <c r="K152" s="33">
        <f>$D$151*($H$145-$H152-$I152-$J152)</f>
        <v>480792036.2529375</v>
      </c>
      <c r="L152" s="33">
        <f>$D$151*($H$145-$H152-$I152-$J152-$K152)</f>
        <v>356266898.86342669</v>
      </c>
      <c r="M152" s="33">
        <f>$D$151*($H$145-$H152-$I152-$J152-$K152-$L152)</f>
        <v>263993772.05779916</v>
      </c>
      <c r="N152" s="33"/>
      <c r="O152" s="33"/>
      <c r="P152" s="33"/>
      <c r="Q152" s="33"/>
      <c r="R152" s="33"/>
    </row>
    <row r="153" spans="3:21" hidden="1" outlineLevel="1" x14ac:dyDescent="0.25">
      <c r="C153" s="31" t="s">
        <v>29</v>
      </c>
      <c r="D153" s="32"/>
      <c r="E153" s="32"/>
      <c r="G153" s="33">
        <v>0</v>
      </c>
      <c r="H153" s="33">
        <v>0</v>
      </c>
      <c r="I153" s="33">
        <f>$D$151*($I$145)</f>
        <v>2411937500</v>
      </c>
      <c r="J153" s="33">
        <f>$D$151*($I$145-$I153)</f>
        <v>1787245687.5</v>
      </c>
      <c r="K153" s="33">
        <f>$D$151*($I$145-$I153-$J153)</f>
        <v>1324349054.4375</v>
      </c>
      <c r="L153" s="33">
        <f>$D$151*($I$145-$I153-$J153-$K153)</f>
        <v>981342649.33818758</v>
      </c>
      <c r="M153" s="33">
        <f>$D$151*($I$145-$I153-$J153-$K153-$L153)</f>
        <v>727174903.15959692</v>
      </c>
      <c r="N153" s="33"/>
      <c r="O153" s="33"/>
      <c r="P153" s="33"/>
      <c r="Q153" s="33"/>
      <c r="R153" s="33"/>
    </row>
    <row r="154" spans="3:21" hidden="1" outlineLevel="1" x14ac:dyDescent="0.25">
      <c r="C154" s="31" t="s">
        <v>30</v>
      </c>
      <c r="D154" s="32"/>
      <c r="E154" s="32"/>
      <c r="G154" s="33">
        <v>0</v>
      </c>
      <c r="H154" s="33">
        <v>0</v>
      </c>
      <c r="I154" s="33">
        <v>0</v>
      </c>
      <c r="J154" s="33">
        <f>$D$151*$J$145</f>
        <v>1764437500</v>
      </c>
      <c r="K154" s="33">
        <f>$D$151*($J$145-$J154)</f>
        <v>1307448187.5</v>
      </c>
      <c r="L154" s="33">
        <f>$D$151*($J$145-$J154-$K154)</f>
        <v>968819106.9375</v>
      </c>
      <c r="M154" s="33">
        <f>$D$151*($J$145-$J154-$K154-$L154)</f>
        <v>717894958.24068749</v>
      </c>
      <c r="N154" s="33"/>
      <c r="O154" s="33"/>
      <c r="P154" s="33"/>
      <c r="Q154" s="33"/>
      <c r="R154" s="33"/>
    </row>
    <row r="155" spans="3:21" hidden="1" outlineLevel="1" x14ac:dyDescent="0.25">
      <c r="C155" s="31" t="s">
        <v>36</v>
      </c>
      <c r="D155" s="32"/>
      <c r="E155" s="32"/>
      <c r="G155" s="33">
        <v>0</v>
      </c>
      <c r="H155" s="33">
        <v>0</v>
      </c>
      <c r="I155" s="33">
        <v>0</v>
      </c>
      <c r="J155" s="33">
        <v>0</v>
      </c>
      <c r="K155" s="33">
        <f>$D$151*$K$145</f>
        <v>1116937500</v>
      </c>
      <c r="L155" s="33">
        <f>$D$151*($K$145-$K155)</f>
        <v>827650687.5</v>
      </c>
      <c r="M155" s="33">
        <f>$D$151*($K$145-$K155-$L155)</f>
        <v>613289159.4375</v>
      </c>
      <c r="N155" s="33"/>
      <c r="O155" s="33"/>
      <c r="P155" s="33"/>
      <c r="Q155" s="33"/>
      <c r="R155" s="33"/>
    </row>
    <row r="156" spans="3:21" hidden="1" outlineLevel="1" x14ac:dyDescent="0.25">
      <c r="C156" s="7" t="s">
        <v>19</v>
      </c>
      <c r="D156" s="6">
        <v>0.25900000000000001</v>
      </c>
      <c r="E156" t="s">
        <v>26</v>
      </c>
      <c r="G156" s="33">
        <v>0</v>
      </c>
      <c r="H156" s="33">
        <v>0</v>
      </c>
      <c r="I156" s="33">
        <v>0</v>
      </c>
      <c r="J156" s="33">
        <v>0</v>
      </c>
      <c r="K156" s="33">
        <f>$D$151*$K$146</f>
        <v>226625000</v>
      </c>
      <c r="L156" s="33">
        <f>$D$151*($K$146-$K156)</f>
        <v>167929125</v>
      </c>
      <c r="M156" s="33">
        <f>$D$151*($K$146-$K156-$L156)</f>
        <v>124435481.625</v>
      </c>
      <c r="N156" s="33"/>
      <c r="O156" s="33"/>
      <c r="P156" s="33"/>
      <c r="Q156" s="33"/>
      <c r="R156" s="33"/>
    </row>
    <row r="157" spans="3:21" collapsed="1" x14ac:dyDescent="0.25"/>
    <row r="159" spans="3:21" x14ac:dyDescent="0.25">
      <c r="J159" s="38"/>
    </row>
  </sheetData>
  <phoneticPr fontId="3" type="noConversion"/>
  <conditionalFormatting sqref="S31:AE92 G45:M92 G31:J44 M53:R53">
    <cfRule type="cellIs" dxfId="6" priority="7" operator="lessThan">
      <formula>0</formula>
    </cfRule>
    <cfRule type="cellIs" dxfId="5" priority="19" operator="equal">
      <formula>0</formula>
    </cfRule>
  </conditionalFormatting>
  <conditionalFormatting sqref="X131:AJ131">
    <cfRule type="cellIs" dxfId="4" priority="10" operator="equal">
      <formula>0</formula>
    </cfRule>
  </conditionalFormatting>
  <conditionalFormatting sqref="N45:R92">
    <cfRule type="cellIs" dxfId="3" priority="3" operator="lessThan">
      <formula>0</formula>
    </cfRule>
    <cfRule type="cellIs" dxfId="2" priority="4" operator="equal">
      <formula>0</formula>
    </cfRule>
  </conditionalFormatting>
  <conditionalFormatting sqref="K31:R44">
    <cfRule type="cellIs" dxfId="1" priority="1" operator="lessThan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다이소몰 손익 중장기 시뮬레이션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이상협</dc:creator>
  <cp:lastModifiedBy>이상협</cp:lastModifiedBy>
  <dcterms:created xsi:type="dcterms:W3CDTF">2025-03-23T00:51:40Z</dcterms:created>
  <dcterms:modified xsi:type="dcterms:W3CDTF">2026-10-09T09:42:33Z</dcterms:modified>
</cp:coreProperties>
</file>